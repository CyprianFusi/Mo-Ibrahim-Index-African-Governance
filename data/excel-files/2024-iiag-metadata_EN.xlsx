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tpreston/MIF Dropbox/Digital/Websites/IDP/Development/2024 data update/Files for downloads/Metadata download/"/>
    </mc:Choice>
  </mc:AlternateContent>
  <xr:revisionPtr revIDLastSave="0" documentId="13_ncr:1_{2EC02CA7-22B5-5A42-91F8-912ECC681B90}" xr6:coauthVersionLast="47" xr6:coauthVersionMax="47" xr10:uidLastSave="{00000000-0000-0000-0000-000000000000}"/>
  <bookViews>
    <workbookView xWindow="0" yWindow="760" windowWidth="30240" windowHeight="18880" xr2:uid="{08E6EF0B-E520-4DB2-88B8-DF044AEB99C6}"/>
  </bookViews>
  <sheets>
    <sheet name="2024 IIAG_series" sheetId="1" r:id="rId1"/>
  </sheets>
  <externalReferences>
    <externalReference r:id="rId2"/>
    <externalReference r:id="rId3"/>
  </externalReferences>
  <definedNames>
    <definedName name="_xlnm._FilterDatabase" localSheetId="0" hidden="1">'2024 IIAG_series'!$A$1:$AE$493</definedName>
    <definedName name="Dataavailable">[1]Availability!$A$48:$A$51</definedName>
    <definedName name="lu_Country_Short">[2]tblCountries!$AI$2:$AI$54</definedName>
    <definedName name="Measureyear">[1]Availability!$A$53:$A$55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90" i="1" l="1"/>
  <c r="J490" i="1"/>
  <c r="F490" i="1"/>
  <c r="K489" i="1"/>
  <c r="J489" i="1"/>
  <c r="F489" i="1"/>
  <c r="K488" i="1"/>
  <c r="J488" i="1"/>
  <c r="F488" i="1"/>
  <c r="K487" i="1"/>
  <c r="J487" i="1"/>
  <c r="F487" i="1"/>
  <c r="K486" i="1"/>
  <c r="J486" i="1"/>
  <c r="F486" i="1"/>
  <c r="K485" i="1"/>
  <c r="J485" i="1"/>
  <c r="F485" i="1"/>
  <c r="F484" i="1"/>
  <c r="F483" i="1"/>
  <c r="K482" i="1"/>
  <c r="J482" i="1"/>
  <c r="F482" i="1"/>
  <c r="K481" i="1"/>
  <c r="J481" i="1"/>
  <c r="F481" i="1"/>
  <c r="F480" i="1"/>
  <c r="F479" i="1"/>
  <c r="K478" i="1"/>
  <c r="J478" i="1"/>
  <c r="F478" i="1"/>
  <c r="K477" i="1"/>
  <c r="J477" i="1"/>
  <c r="F477" i="1"/>
  <c r="K476" i="1"/>
  <c r="J476" i="1"/>
  <c r="F476" i="1"/>
  <c r="K475" i="1"/>
  <c r="J475" i="1"/>
  <c r="F475" i="1"/>
  <c r="K474" i="1"/>
  <c r="J474" i="1"/>
  <c r="F474" i="1"/>
  <c r="K473" i="1"/>
  <c r="J473" i="1"/>
  <c r="F473" i="1"/>
  <c r="K472" i="1"/>
  <c r="J472" i="1"/>
  <c r="F472" i="1"/>
  <c r="K471" i="1"/>
  <c r="J471" i="1"/>
  <c r="F471" i="1"/>
  <c r="K470" i="1"/>
  <c r="J470" i="1"/>
  <c r="F470" i="1"/>
  <c r="K469" i="1"/>
  <c r="F469" i="1"/>
  <c r="J468" i="1"/>
  <c r="J467" i="1"/>
  <c r="J466" i="1"/>
  <c r="J465" i="1"/>
  <c r="J464" i="1"/>
  <c r="J463" i="1"/>
  <c r="J462" i="1"/>
  <c r="J461" i="1"/>
  <c r="J460" i="1"/>
  <c r="J459" i="1"/>
  <c r="J458" i="1"/>
  <c r="J457" i="1"/>
  <c r="K456" i="1"/>
  <c r="J456" i="1"/>
  <c r="F456" i="1"/>
  <c r="K455" i="1"/>
  <c r="J455" i="1"/>
  <c r="F455" i="1"/>
  <c r="K453" i="1"/>
  <c r="J453" i="1"/>
  <c r="F453" i="1"/>
  <c r="J452" i="1"/>
  <c r="K451" i="1"/>
  <c r="J451" i="1"/>
  <c r="F451" i="1"/>
  <c r="K450" i="1"/>
  <c r="J450" i="1"/>
  <c r="F450" i="1"/>
  <c r="K449" i="1"/>
  <c r="J449" i="1"/>
  <c r="F449" i="1"/>
  <c r="K448" i="1"/>
  <c r="J448" i="1"/>
  <c r="F448" i="1"/>
  <c r="K447" i="1"/>
  <c r="J447" i="1"/>
  <c r="F447" i="1"/>
  <c r="K446" i="1"/>
  <c r="J446" i="1"/>
  <c r="F446" i="1"/>
  <c r="K445" i="1"/>
  <c r="J445" i="1"/>
  <c r="F445" i="1"/>
  <c r="K444" i="1"/>
  <c r="J444" i="1"/>
  <c r="F444" i="1"/>
  <c r="K443" i="1"/>
  <c r="J443" i="1"/>
  <c r="F443" i="1"/>
  <c r="K442" i="1"/>
  <c r="J442" i="1"/>
  <c r="F442" i="1"/>
  <c r="K441" i="1"/>
  <c r="J441" i="1"/>
  <c r="F441" i="1"/>
  <c r="K440" i="1"/>
  <c r="J440" i="1"/>
  <c r="F440" i="1"/>
  <c r="K439" i="1"/>
  <c r="J439" i="1"/>
  <c r="F439" i="1"/>
  <c r="J438" i="1"/>
  <c r="F438" i="1"/>
  <c r="K437" i="1"/>
  <c r="J437" i="1"/>
  <c r="F437" i="1"/>
  <c r="K436" i="1"/>
  <c r="J436" i="1"/>
  <c r="F436" i="1"/>
  <c r="K435" i="1"/>
  <c r="J435" i="1"/>
  <c r="F435" i="1"/>
  <c r="K434" i="1"/>
  <c r="J434" i="1"/>
  <c r="F434" i="1"/>
  <c r="K433" i="1"/>
  <c r="J433" i="1"/>
  <c r="F433" i="1"/>
  <c r="K432" i="1"/>
  <c r="F432" i="1"/>
  <c r="F427" i="1"/>
  <c r="F426" i="1"/>
  <c r="K425" i="1"/>
  <c r="J425" i="1"/>
  <c r="F425" i="1"/>
  <c r="K422" i="1"/>
  <c r="J422" i="1"/>
  <c r="F422" i="1"/>
  <c r="K417" i="1"/>
  <c r="J417" i="1"/>
  <c r="F417" i="1"/>
  <c r="K416" i="1"/>
  <c r="J416" i="1"/>
  <c r="F416" i="1"/>
  <c r="K415" i="1"/>
  <c r="J415" i="1"/>
  <c r="F415" i="1"/>
  <c r="K414" i="1"/>
  <c r="J414" i="1"/>
  <c r="F414" i="1"/>
  <c r="K413" i="1"/>
  <c r="J413" i="1"/>
  <c r="F413" i="1"/>
  <c r="K412" i="1"/>
  <c r="J412" i="1"/>
  <c r="F412" i="1"/>
  <c r="F411" i="1"/>
  <c r="F410" i="1"/>
  <c r="F409" i="1"/>
  <c r="F408" i="1"/>
  <c r="F407" i="1"/>
  <c r="K406" i="1"/>
  <c r="F406" i="1"/>
  <c r="K405" i="1"/>
  <c r="J405" i="1"/>
  <c r="K404" i="1"/>
  <c r="J404" i="1"/>
  <c r="K403" i="1"/>
  <c r="J403" i="1"/>
  <c r="K402" i="1"/>
  <c r="J402" i="1"/>
  <c r="K401" i="1"/>
  <c r="J401" i="1"/>
  <c r="K400" i="1"/>
  <c r="J400" i="1"/>
  <c r="K399" i="1"/>
  <c r="J399" i="1"/>
  <c r="K398" i="1"/>
  <c r="J398" i="1"/>
  <c r="F398" i="1"/>
  <c r="K396" i="1"/>
  <c r="J396" i="1"/>
  <c r="K395" i="1"/>
  <c r="J395" i="1"/>
  <c r="F395" i="1"/>
  <c r="K394" i="1"/>
  <c r="J394" i="1"/>
  <c r="F394" i="1"/>
  <c r="K393" i="1"/>
  <c r="J393" i="1"/>
  <c r="F393" i="1"/>
  <c r="K390" i="1"/>
  <c r="J390" i="1"/>
  <c r="F390" i="1"/>
  <c r="K389" i="1"/>
  <c r="J389" i="1"/>
  <c r="F389" i="1"/>
  <c r="K388" i="1"/>
  <c r="J388" i="1"/>
  <c r="F388" i="1"/>
  <c r="K387" i="1"/>
  <c r="J387" i="1"/>
  <c r="F387" i="1"/>
  <c r="K386" i="1"/>
  <c r="J386" i="1"/>
  <c r="F386" i="1"/>
  <c r="K383" i="1"/>
  <c r="J383" i="1"/>
  <c r="F383" i="1"/>
  <c r="K382" i="1"/>
  <c r="J382" i="1"/>
  <c r="F382" i="1"/>
  <c r="K381" i="1"/>
  <c r="J381" i="1"/>
  <c r="F381" i="1"/>
  <c r="K380" i="1"/>
  <c r="J380" i="1"/>
  <c r="F380" i="1"/>
  <c r="K379" i="1"/>
  <c r="J379" i="1"/>
  <c r="F379" i="1"/>
  <c r="K378" i="1"/>
  <c r="J378" i="1"/>
  <c r="F378" i="1"/>
  <c r="K377" i="1"/>
  <c r="J377" i="1"/>
  <c r="F377" i="1"/>
  <c r="K376" i="1"/>
  <c r="J376" i="1"/>
  <c r="F376" i="1"/>
  <c r="K375" i="1"/>
  <c r="J375" i="1"/>
  <c r="F375" i="1"/>
  <c r="K374" i="1"/>
  <c r="J374" i="1"/>
  <c r="F374" i="1"/>
  <c r="K373" i="1"/>
  <c r="J373" i="1"/>
  <c r="F373" i="1"/>
  <c r="K372" i="1"/>
  <c r="J372" i="1"/>
  <c r="F372" i="1"/>
  <c r="K371" i="1"/>
  <c r="J371" i="1"/>
  <c r="F371" i="1"/>
  <c r="K370" i="1"/>
  <c r="F370" i="1"/>
  <c r="F369" i="1"/>
  <c r="J368" i="1"/>
  <c r="J367" i="1"/>
  <c r="K366" i="1"/>
  <c r="J366" i="1"/>
  <c r="F366" i="1"/>
  <c r="K365" i="1"/>
  <c r="J365" i="1"/>
  <c r="F365" i="1"/>
  <c r="K364" i="1"/>
  <c r="J364" i="1"/>
  <c r="F364" i="1"/>
  <c r="K363" i="1"/>
  <c r="J363" i="1"/>
  <c r="F363" i="1"/>
  <c r="J362" i="1"/>
  <c r="K361" i="1"/>
  <c r="J361" i="1"/>
  <c r="F361" i="1"/>
  <c r="K360" i="1"/>
  <c r="J360" i="1"/>
  <c r="F360" i="1"/>
  <c r="K359" i="1"/>
  <c r="J359" i="1"/>
  <c r="F359" i="1"/>
  <c r="K358" i="1"/>
  <c r="J358" i="1"/>
  <c r="F358" i="1"/>
  <c r="K357" i="1"/>
  <c r="J357" i="1"/>
  <c r="F357" i="1"/>
  <c r="K356" i="1"/>
  <c r="J356" i="1"/>
  <c r="F356" i="1"/>
  <c r="K355" i="1"/>
  <c r="F355" i="1"/>
  <c r="K354" i="1"/>
  <c r="J354" i="1"/>
  <c r="K353" i="1"/>
  <c r="J353" i="1"/>
  <c r="K352" i="1"/>
  <c r="J352" i="1"/>
  <c r="K351" i="1"/>
  <c r="J351" i="1"/>
  <c r="K350" i="1"/>
  <c r="J350" i="1"/>
  <c r="K349" i="1"/>
  <c r="J349" i="1"/>
  <c r="K348" i="1"/>
  <c r="J348" i="1"/>
  <c r="F348" i="1"/>
  <c r="K347" i="1"/>
  <c r="J347" i="1"/>
  <c r="F347" i="1"/>
  <c r="K346" i="1"/>
  <c r="J346" i="1"/>
  <c r="F346" i="1"/>
  <c r="K345" i="1"/>
  <c r="J345" i="1"/>
  <c r="F345" i="1"/>
  <c r="K344" i="1"/>
  <c r="J344" i="1"/>
  <c r="F344" i="1"/>
  <c r="K343" i="1"/>
  <c r="J343" i="1"/>
  <c r="F343" i="1"/>
  <c r="K342" i="1"/>
  <c r="J342" i="1"/>
  <c r="F342" i="1"/>
  <c r="K341" i="1"/>
  <c r="J341" i="1"/>
  <c r="F341" i="1"/>
  <c r="K340" i="1"/>
  <c r="J340" i="1"/>
  <c r="F340" i="1"/>
  <c r="K339" i="1"/>
  <c r="J339" i="1"/>
  <c r="F339" i="1"/>
  <c r="K338" i="1"/>
  <c r="J338" i="1"/>
  <c r="K337" i="1"/>
  <c r="J337" i="1"/>
  <c r="K336" i="1"/>
  <c r="J336" i="1"/>
  <c r="F336" i="1"/>
  <c r="K335" i="1"/>
  <c r="J335" i="1"/>
  <c r="F335" i="1"/>
  <c r="K334" i="1"/>
  <c r="J334" i="1"/>
  <c r="F334" i="1"/>
  <c r="K332" i="1"/>
  <c r="J332" i="1"/>
  <c r="F332" i="1"/>
  <c r="K331" i="1"/>
  <c r="F331" i="1"/>
  <c r="K330" i="1"/>
  <c r="J330" i="1"/>
  <c r="K329" i="1"/>
  <c r="J329" i="1"/>
  <c r="K328" i="1"/>
  <c r="J328" i="1"/>
  <c r="K327" i="1"/>
  <c r="J327" i="1"/>
  <c r="K326" i="1"/>
  <c r="J326" i="1"/>
  <c r="K325" i="1"/>
  <c r="J325" i="1"/>
  <c r="K324" i="1"/>
  <c r="J324" i="1"/>
  <c r="K323" i="1"/>
  <c r="J323" i="1"/>
  <c r="F323" i="1"/>
  <c r="K322" i="1"/>
  <c r="J322" i="1"/>
  <c r="F322" i="1"/>
  <c r="K321" i="1"/>
  <c r="J321" i="1"/>
  <c r="F321" i="1"/>
  <c r="K316" i="1"/>
  <c r="J316" i="1"/>
  <c r="F316" i="1"/>
  <c r="K315" i="1"/>
  <c r="J315" i="1"/>
  <c r="F315" i="1"/>
  <c r="K314" i="1"/>
  <c r="J314" i="1"/>
  <c r="F314" i="1"/>
  <c r="K313" i="1"/>
  <c r="J313" i="1"/>
  <c r="F313" i="1"/>
  <c r="K312" i="1"/>
  <c r="J312" i="1"/>
  <c r="F312" i="1"/>
  <c r="K311" i="1"/>
  <c r="J311" i="1"/>
  <c r="F311" i="1"/>
  <c r="K307" i="1"/>
  <c r="J307" i="1"/>
  <c r="K306" i="1"/>
  <c r="J306" i="1"/>
  <c r="K305" i="1"/>
  <c r="J305" i="1"/>
  <c r="K304" i="1"/>
  <c r="J304" i="1"/>
  <c r="F304" i="1"/>
  <c r="K303" i="1"/>
  <c r="F303" i="1"/>
  <c r="K302" i="1"/>
  <c r="J302" i="1"/>
  <c r="K301" i="1"/>
  <c r="J301" i="1"/>
  <c r="F301" i="1"/>
  <c r="K300" i="1"/>
  <c r="J300" i="1"/>
  <c r="F300" i="1"/>
  <c r="K299" i="1"/>
  <c r="J299" i="1"/>
  <c r="F299" i="1"/>
  <c r="K298" i="1"/>
  <c r="J298" i="1"/>
  <c r="F298" i="1"/>
  <c r="K297" i="1"/>
  <c r="J297" i="1"/>
  <c r="F297" i="1"/>
  <c r="K296" i="1"/>
  <c r="J296" i="1"/>
  <c r="F296" i="1"/>
  <c r="K295" i="1"/>
  <c r="J295" i="1"/>
  <c r="F295" i="1"/>
  <c r="K294" i="1"/>
  <c r="J294" i="1"/>
  <c r="F294" i="1"/>
  <c r="K293" i="1"/>
  <c r="J293" i="1"/>
  <c r="F293" i="1"/>
  <c r="K292" i="1"/>
  <c r="J292" i="1"/>
  <c r="F292" i="1"/>
  <c r="K291" i="1"/>
  <c r="J291" i="1"/>
  <c r="F291" i="1"/>
  <c r="K287" i="1"/>
  <c r="J287" i="1"/>
  <c r="F287" i="1"/>
  <c r="K286" i="1"/>
  <c r="J286" i="1"/>
  <c r="F286" i="1"/>
  <c r="K285" i="1"/>
  <c r="J285" i="1"/>
  <c r="K284" i="1"/>
  <c r="J284" i="1"/>
  <c r="F284" i="1"/>
  <c r="K283" i="1"/>
  <c r="J283" i="1"/>
  <c r="F283" i="1"/>
  <c r="K282" i="1"/>
  <c r="J282" i="1"/>
  <c r="F282" i="1"/>
  <c r="K281" i="1"/>
  <c r="J281" i="1"/>
  <c r="F281" i="1"/>
  <c r="F280" i="1"/>
  <c r="K279" i="1"/>
  <c r="J279" i="1"/>
  <c r="F279" i="1"/>
  <c r="K278" i="1"/>
  <c r="J278" i="1"/>
  <c r="F278" i="1"/>
  <c r="K277" i="1"/>
  <c r="J277" i="1"/>
  <c r="F277" i="1"/>
  <c r="K276" i="1"/>
  <c r="J276" i="1"/>
  <c r="F276" i="1"/>
  <c r="K275" i="1"/>
  <c r="F275" i="1"/>
  <c r="F274" i="1"/>
  <c r="K273" i="1"/>
  <c r="J273" i="1"/>
  <c r="F273" i="1"/>
  <c r="K272" i="1"/>
  <c r="J272" i="1"/>
  <c r="F272" i="1"/>
  <c r="K271" i="1"/>
  <c r="J271" i="1"/>
  <c r="F271" i="1"/>
  <c r="K270" i="1"/>
  <c r="J270" i="1"/>
  <c r="F270" i="1"/>
  <c r="K269" i="1"/>
  <c r="J269" i="1"/>
  <c r="F269" i="1"/>
  <c r="K268" i="1"/>
  <c r="J268" i="1"/>
  <c r="F268" i="1"/>
  <c r="J267" i="1"/>
  <c r="K266" i="1"/>
  <c r="J266" i="1"/>
  <c r="F266" i="1"/>
  <c r="K265" i="1"/>
  <c r="J265" i="1"/>
  <c r="F265" i="1"/>
  <c r="K264" i="1"/>
  <c r="J264" i="1"/>
  <c r="F264" i="1"/>
  <c r="K263" i="1"/>
  <c r="J263" i="1"/>
  <c r="F263" i="1"/>
  <c r="K262" i="1"/>
  <c r="J262" i="1"/>
  <c r="F262" i="1"/>
  <c r="K261" i="1"/>
  <c r="J261" i="1"/>
  <c r="F261" i="1"/>
  <c r="K260" i="1"/>
  <c r="J260" i="1"/>
  <c r="F260" i="1"/>
  <c r="K259" i="1"/>
  <c r="J259" i="1"/>
  <c r="F259" i="1"/>
  <c r="K258" i="1"/>
  <c r="F258" i="1"/>
  <c r="F257" i="1"/>
  <c r="F256" i="1"/>
  <c r="F255" i="1"/>
  <c r="F254" i="1"/>
  <c r="F253" i="1"/>
  <c r="F252" i="1"/>
  <c r="F251" i="1"/>
  <c r="F249" i="1"/>
  <c r="F248" i="1"/>
  <c r="K247" i="1"/>
  <c r="J247" i="1"/>
  <c r="F247" i="1"/>
  <c r="K246" i="1"/>
  <c r="J246" i="1"/>
  <c r="F246" i="1"/>
  <c r="K245" i="1"/>
  <c r="J245" i="1"/>
  <c r="F245" i="1"/>
  <c r="K244" i="1"/>
  <c r="J244" i="1"/>
  <c r="F244" i="1"/>
  <c r="K243" i="1"/>
  <c r="J243" i="1"/>
  <c r="F243" i="1"/>
  <c r="K242" i="1"/>
  <c r="J242" i="1"/>
  <c r="F242" i="1"/>
  <c r="K241" i="1"/>
  <c r="J241" i="1"/>
  <c r="F241" i="1"/>
  <c r="D241" i="1"/>
  <c r="K240" i="1"/>
  <c r="J240" i="1"/>
  <c r="F240" i="1"/>
  <c r="K239" i="1"/>
  <c r="J239" i="1"/>
  <c r="F239" i="1"/>
  <c r="D239" i="1"/>
  <c r="K238" i="1"/>
  <c r="J238" i="1"/>
  <c r="F238" i="1"/>
  <c r="D238" i="1"/>
  <c r="K237" i="1"/>
  <c r="J237" i="1"/>
  <c r="F237" i="1"/>
  <c r="D237" i="1"/>
  <c r="K236" i="1"/>
  <c r="J236" i="1"/>
  <c r="F236" i="1"/>
  <c r="K235" i="1"/>
  <c r="J235" i="1"/>
  <c r="F235" i="1"/>
  <c r="K234" i="1"/>
  <c r="J234" i="1"/>
  <c r="F234" i="1"/>
  <c r="K233" i="1"/>
  <c r="J233" i="1"/>
  <c r="F233" i="1"/>
  <c r="K232" i="1"/>
  <c r="J232" i="1"/>
  <c r="F232" i="1"/>
  <c r="K231" i="1"/>
  <c r="J231" i="1"/>
  <c r="F231" i="1"/>
  <c r="F230" i="1"/>
  <c r="F229" i="1"/>
  <c r="F228" i="1"/>
  <c r="F227" i="1"/>
  <c r="K226" i="1"/>
  <c r="J226" i="1"/>
  <c r="F226" i="1"/>
  <c r="K225" i="1"/>
  <c r="F225" i="1"/>
  <c r="K224" i="1"/>
  <c r="J224" i="1"/>
  <c r="K223" i="1"/>
  <c r="J223" i="1"/>
  <c r="F223" i="1"/>
  <c r="K222" i="1"/>
  <c r="J222" i="1"/>
  <c r="F222" i="1"/>
  <c r="K221" i="1"/>
  <c r="J221" i="1"/>
  <c r="F221" i="1"/>
  <c r="K220" i="1"/>
  <c r="J220" i="1"/>
  <c r="F220" i="1"/>
  <c r="K219" i="1"/>
  <c r="J219" i="1"/>
  <c r="K218" i="1"/>
  <c r="J218" i="1"/>
  <c r="K217" i="1"/>
  <c r="J217" i="1"/>
  <c r="K216" i="1"/>
  <c r="J216" i="1"/>
  <c r="F216" i="1"/>
  <c r="K215" i="1"/>
  <c r="J215" i="1"/>
  <c r="F215" i="1"/>
  <c r="K214" i="1"/>
  <c r="J214" i="1"/>
  <c r="F214" i="1"/>
  <c r="K213" i="1"/>
  <c r="J213" i="1"/>
  <c r="F213" i="1"/>
  <c r="K212" i="1"/>
  <c r="J212" i="1"/>
  <c r="K211" i="1"/>
  <c r="J211" i="1"/>
  <c r="K210" i="1"/>
  <c r="J210" i="1"/>
  <c r="K209" i="1"/>
  <c r="J209" i="1"/>
  <c r="K208" i="1"/>
  <c r="J208" i="1"/>
  <c r="K207" i="1"/>
  <c r="J207" i="1"/>
  <c r="K206" i="1"/>
  <c r="J206" i="1"/>
  <c r="K205" i="1"/>
  <c r="J205" i="1"/>
  <c r="F205" i="1"/>
  <c r="K204" i="1"/>
  <c r="J204" i="1"/>
  <c r="F204" i="1"/>
  <c r="K203" i="1"/>
  <c r="J203" i="1"/>
  <c r="F203" i="1"/>
  <c r="K202" i="1"/>
  <c r="J202" i="1"/>
  <c r="K201" i="1"/>
  <c r="J201" i="1"/>
  <c r="F201" i="1"/>
  <c r="K200" i="1"/>
  <c r="J200" i="1"/>
  <c r="F200" i="1"/>
  <c r="K199" i="1"/>
  <c r="J199" i="1"/>
  <c r="F199" i="1"/>
  <c r="K198" i="1"/>
  <c r="J198" i="1"/>
  <c r="F198" i="1"/>
  <c r="K197" i="1"/>
  <c r="J197" i="1"/>
  <c r="F197" i="1"/>
  <c r="K196" i="1"/>
  <c r="J196" i="1"/>
  <c r="F196" i="1"/>
  <c r="K195" i="1"/>
  <c r="J195" i="1"/>
  <c r="F195" i="1"/>
  <c r="K194" i="1"/>
  <c r="J194" i="1"/>
  <c r="F194" i="1"/>
  <c r="K193" i="1"/>
  <c r="J193" i="1"/>
  <c r="F193" i="1"/>
  <c r="K192" i="1"/>
  <c r="J192" i="1"/>
  <c r="F192" i="1"/>
  <c r="K191" i="1"/>
  <c r="J191" i="1"/>
  <c r="F191" i="1"/>
  <c r="K190" i="1"/>
  <c r="J190" i="1"/>
  <c r="F190" i="1"/>
  <c r="K189" i="1"/>
  <c r="J189" i="1"/>
  <c r="F189" i="1"/>
  <c r="K188" i="1"/>
  <c r="F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F175" i="1"/>
  <c r="K174" i="1"/>
  <c r="J174" i="1"/>
  <c r="F174" i="1"/>
  <c r="K173" i="1"/>
  <c r="J173" i="1"/>
  <c r="F173" i="1"/>
  <c r="K172" i="1"/>
  <c r="J172" i="1"/>
  <c r="F172" i="1"/>
  <c r="K171" i="1"/>
  <c r="J171" i="1"/>
  <c r="F171" i="1"/>
  <c r="K170" i="1"/>
  <c r="J170" i="1"/>
  <c r="F170" i="1"/>
  <c r="K169" i="1"/>
  <c r="J169" i="1"/>
  <c r="F169" i="1"/>
  <c r="K168" i="1"/>
  <c r="J168" i="1"/>
  <c r="F168" i="1"/>
  <c r="K167" i="1"/>
  <c r="J167" i="1"/>
  <c r="F167" i="1"/>
  <c r="K166" i="1"/>
  <c r="J166" i="1"/>
  <c r="F166" i="1"/>
  <c r="K165" i="1"/>
  <c r="J165" i="1"/>
  <c r="F165" i="1"/>
  <c r="K164" i="1"/>
  <c r="J164" i="1"/>
  <c r="F164" i="1"/>
  <c r="K163" i="1"/>
  <c r="J163" i="1"/>
  <c r="F163" i="1"/>
  <c r="K162" i="1"/>
  <c r="J162" i="1"/>
  <c r="F162" i="1"/>
  <c r="K161" i="1"/>
  <c r="J161" i="1"/>
  <c r="F161" i="1"/>
  <c r="K160" i="1"/>
  <c r="J160" i="1"/>
  <c r="F160" i="1"/>
  <c r="K159" i="1"/>
  <c r="J159" i="1"/>
  <c r="F159" i="1"/>
  <c r="K158" i="1"/>
  <c r="J158" i="1"/>
  <c r="F158" i="1"/>
  <c r="K157" i="1"/>
  <c r="J157" i="1"/>
  <c r="F157" i="1"/>
  <c r="K156" i="1"/>
  <c r="J156" i="1"/>
  <c r="F156" i="1"/>
  <c r="K155" i="1"/>
  <c r="J155" i="1"/>
  <c r="F155" i="1"/>
  <c r="K154" i="1"/>
  <c r="J154" i="1"/>
  <c r="F154" i="1"/>
  <c r="K153" i="1"/>
  <c r="F153" i="1"/>
  <c r="F152" i="1"/>
  <c r="K151" i="1"/>
  <c r="J151" i="1"/>
  <c r="F151" i="1"/>
  <c r="K150" i="1"/>
  <c r="J150" i="1"/>
  <c r="F150" i="1"/>
  <c r="K149" i="1"/>
  <c r="J149" i="1"/>
  <c r="F149" i="1"/>
  <c r="K148" i="1"/>
  <c r="J148" i="1"/>
  <c r="F148" i="1"/>
  <c r="K147" i="1"/>
  <c r="J147" i="1"/>
  <c r="F147" i="1"/>
  <c r="K146" i="1"/>
  <c r="J146" i="1"/>
  <c r="F146" i="1"/>
  <c r="K145" i="1"/>
  <c r="J145" i="1"/>
  <c r="F145" i="1"/>
  <c r="K144" i="1"/>
  <c r="J144" i="1"/>
  <c r="F144" i="1"/>
  <c r="K143" i="1"/>
  <c r="J143" i="1"/>
  <c r="F143" i="1"/>
  <c r="K142" i="1"/>
  <c r="J142" i="1"/>
  <c r="F142" i="1"/>
  <c r="K141" i="1"/>
  <c r="J141" i="1"/>
  <c r="K140" i="1"/>
  <c r="J140" i="1"/>
  <c r="F140" i="1"/>
  <c r="K139" i="1"/>
  <c r="J139" i="1"/>
  <c r="F139" i="1"/>
  <c r="K138" i="1"/>
  <c r="J138" i="1"/>
  <c r="F138" i="1"/>
  <c r="K137" i="1"/>
  <c r="J137" i="1"/>
  <c r="F137" i="1"/>
  <c r="K136" i="1"/>
  <c r="J136" i="1"/>
  <c r="F136" i="1"/>
  <c r="K135" i="1"/>
  <c r="J135" i="1"/>
  <c r="F135" i="1"/>
  <c r="K134" i="1"/>
  <c r="J134" i="1"/>
  <c r="F134" i="1"/>
  <c r="K133" i="1"/>
  <c r="J133" i="1"/>
  <c r="F133" i="1"/>
  <c r="K132" i="1"/>
  <c r="J132" i="1"/>
  <c r="F132" i="1"/>
  <c r="K131" i="1"/>
  <c r="J131" i="1"/>
  <c r="F131" i="1"/>
  <c r="K130" i="1"/>
  <c r="J130" i="1"/>
  <c r="F130" i="1"/>
  <c r="K129" i="1"/>
  <c r="J129" i="1"/>
  <c r="F129" i="1"/>
  <c r="K128" i="1"/>
  <c r="J128" i="1"/>
  <c r="F128" i="1"/>
  <c r="K127" i="1"/>
  <c r="J127" i="1"/>
  <c r="F127" i="1"/>
  <c r="K126" i="1"/>
  <c r="J126" i="1"/>
  <c r="F126" i="1"/>
  <c r="K125" i="1"/>
  <c r="J125" i="1"/>
  <c r="F125" i="1"/>
  <c r="K124" i="1"/>
  <c r="J124" i="1"/>
  <c r="F124" i="1"/>
  <c r="K123" i="1"/>
  <c r="J123" i="1"/>
  <c r="F123" i="1"/>
  <c r="K122" i="1"/>
  <c r="J122" i="1"/>
  <c r="F122" i="1"/>
  <c r="K121" i="1"/>
  <c r="J121" i="1"/>
  <c r="F121" i="1"/>
  <c r="K120" i="1"/>
  <c r="J120" i="1"/>
  <c r="F120" i="1"/>
  <c r="K118" i="1"/>
  <c r="J118" i="1"/>
  <c r="F118" i="1"/>
  <c r="K117" i="1"/>
  <c r="J117" i="1"/>
  <c r="F117" i="1"/>
  <c r="K116" i="1"/>
  <c r="J116" i="1"/>
  <c r="F116" i="1"/>
  <c r="K115" i="1"/>
  <c r="J115" i="1"/>
  <c r="F115" i="1"/>
  <c r="K114" i="1"/>
  <c r="F114" i="1"/>
  <c r="K109" i="1"/>
  <c r="J109" i="1"/>
  <c r="F109" i="1"/>
  <c r="K108" i="1"/>
  <c r="J108" i="1"/>
  <c r="F108" i="1"/>
  <c r="K107" i="1"/>
  <c r="J107" i="1"/>
  <c r="F107" i="1"/>
  <c r="K106" i="1"/>
  <c r="J106" i="1"/>
  <c r="F106" i="1"/>
  <c r="K104" i="1"/>
  <c r="J104" i="1"/>
  <c r="F104" i="1"/>
  <c r="K103" i="1"/>
  <c r="J103" i="1"/>
  <c r="F103" i="1"/>
  <c r="K102" i="1"/>
  <c r="J102" i="1"/>
  <c r="F102" i="1"/>
  <c r="K101" i="1"/>
  <c r="J101" i="1"/>
  <c r="F101" i="1"/>
  <c r="K100" i="1"/>
  <c r="J100" i="1"/>
  <c r="F100" i="1"/>
  <c r="K99" i="1"/>
  <c r="J99" i="1"/>
  <c r="F99" i="1"/>
  <c r="K98" i="1"/>
  <c r="J98" i="1"/>
  <c r="F98" i="1"/>
  <c r="K97" i="1"/>
  <c r="J97" i="1"/>
  <c r="F97" i="1"/>
  <c r="K96" i="1"/>
  <c r="J96" i="1"/>
  <c r="F96" i="1"/>
  <c r="K95" i="1"/>
  <c r="J95" i="1"/>
  <c r="F95" i="1"/>
  <c r="K94" i="1"/>
  <c r="J94" i="1"/>
  <c r="F94" i="1"/>
  <c r="K93" i="1"/>
  <c r="J93" i="1"/>
  <c r="F93" i="1"/>
  <c r="K92" i="1"/>
  <c r="J92" i="1"/>
  <c r="F92" i="1"/>
  <c r="K91" i="1"/>
  <c r="J91" i="1"/>
  <c r="F91" i="1"/>
  <c r="K90" i="1"/>
  <c r="J90" i="1"/>
  <c r="F90" i="1"/>
  <c r="K89" i="1"/>
  <c r="J89" i="1"/>
  <c r="F89" i="1"/>
  <c r="K88" i="1"/>
  <c r="J88" i="1"/>
  <c r="F88" i="1"/>
  <c r="K87" i="1"/>
  <c r="J87" i="1"/>
  <c r="F87" i="1"/>
  <c r="K86" i="1"/>
  <c r="J86" i="1"/>
  <c r="F86" i="1"/>
  <c r="K85" i="1"/>
  <c r="J85" i="1"/>
  <c r="F85" i="1"/>
  <c r="F84" i="1"/>
  <c r="K83" i="1"/>
  <c r="J83" i="1"/>
  <c r="F83" i="1"/>
  <c r="K82" i="1"/>
  <c r="J82" i="1"/>
  <c r="F82" i="1"/>
  <c r="K81" i="1"/>
  <c r="J81" i="1"/>
  <c r="F81" i="1"/>
  <c r="K80" i="1"/>
  <c r="J80" i="1"/>
  <c r="F80" i="1"/>
  <c r="K79" i="1"/>
  <c r="J79" i="1"/>
  <c r="F79" i="1"/>
  <c r="K78" i="1"/>
  <c r="J78" i="1"/>
  <c r="F78" i="1"/>
  <c r="K77" i="1"/>
  <c r="J77" i="1"/>
  <c r="F77" i="1"/>
  <c r="K76" i="1"/>
  <c r="J76" i="1"/>
  <c r="F76" i="1"/>
  <c r="K75" i="1"/>
  <c r="F75" i="1"/>
  <c r="K71" i="1"/>
  <c r="J71" i="1"/>
  <c r="F71" i="1"/>
  <c r="K70" i="1"/>
  <c r="J70" i="1"/>
  <c r="F70" i="1"/>
  <c r="K69" i="1"/>
  <c r="J69" i="1"/>
  <c r="F69" i="1"/>
  <c r="K68" i="1"/>
  <c r="J68" i="1"/>
  <c r="F68" i="1"/>
  <c r="K67" i="1"/>
  <c r="J67" i="1"/>
  <c r="F67" i="1"/>
  <c r="K66" i="1"/>
  <c r="K65" i="1"/>
  <c r="J65" i="1"/>
  <c r="F65" i="1"/>
  <c r="K64" i="1"/>
  <c r="J64" i="1"/>
  <c r="F64" i="1"/>
  <c r="K63" i="1"/>
  <c r="J63" i="1"/>
  <c r="F63" i="1"/>
  <c r="K62" i="1"/>
  <c r="J62" i="1"/>
  <c r="F62" i="1"/>
  <c r="K61" i="1"/>
  <c r="J61" i="1"/>
  <c r="F61" i="1"/>
  <c r="K60" i="1"/>
  <c r="J60" i="1"/>
  <c r="F60" i="1"/>
  <c r="K59" i="1"/>
  <c r="J59" i="1"/>
  <c r="F59" i="1"/>
  <c r="K58" i="1"/>
  <c r="J58" i="1"/>
  <c r="F58" i="1"/>
  <c r="K57" i="1"/>
  <c r="J57" i="1"/>
  <c r="F57" i="1"/>
  <c r="K56" i="1"/>
  <c r="J56" i="1"/>
  <c r="F56" i="1"/>
  <c r="K55" i="1"/>
  <c r="J55" i="1"/>
  <c r="F55" i="1"/>
  <c r="K54" i="1"/>
  <c r="J54" i="1"/>
  <c r="F54" i="1"/>
  <c r="K53" i="1"/>
  <c r="J53" i="1"/>
  <c r="F53" i="1"/>
  <c r="K52" i="1"/>
  <c r="J52" i="1"/>
  <c r="F52" i="1"/>
  <c r="K51" i="1"/>
  <c r="J51" i="1"/>
  <c r="F51" i="1"/>
  <c r="K50" i="1"/>
  <c r="J50" i="1"/>
  <c r="F50" i="1"/>
  <c r="K49" i="1"/>
  <c r="J49" i="1"/>
  <c r="F49" i="1"/>
  <c r="K48" i="1"/>
  <c r="J48" i="1"/>
  <c r="F48" i="1"/>
  <c r="K47" i="1"/>
  <c r="J47" i="1"/>
  <c r="F47" i="1"/>
  <c r="K46" i="1"/>
  <c r="J46" i="1"/>
  <c r="F46" i="1"/>
  <c r="K45" i="1"/>
  <c r="J45" i="1"/>
  <c r="K44" i="1"/>
  <c r="J44" i="1"/>
  <c r="K43" i="1"/>
  <c r="J43" i="1"/>
  <c r="F43" i="1"/>
  <c r="K42" i="1"/>
  <c r="J42" i="1"/>
  <c r="F42" i="1"/>
  <c r="K41" i="1"/>
  <c r="J41" i="1"/>
  <c r="F41" i="1"/>
  <c r="K40" i="1"/>
  <c r="J40" i="1"/>
  <c r="F40" i="1"/>
  <c r="K39" i="1"/>
  <c r="J39" i="1"/>
  <c r="F39" i="1"/>
  <c r="K38" i="1"/>
  <c r="J38" i="1"/>
  <c r="F38" i="1"/>
  <c r="K37" i="1"/>
  <c r="J37" i="1"/>
  <c r="K36" i="1"/>
  <c r="J36" i="1"/>
  <c r="K35" i="1"/>
  <c r="J35" i="1"/>
  <c r="K34" i="1"/>
  <c r="J34" i="1"/>
  <c r="F34" i="1"/>
  <c r="K33" i="1"/>
  <c r="J33" i="1"/>
  <c r="F33" i="1"/>
  <c r="K32" i="1"/>
  <c r="F32" i="1"/>
  <c r="F22" i="1"/>
  <c r="F21" i="1"/>
  <c r="F20" i="1"/>
  <c r="F18" i="1"/>
  <c r="F17" i="1"/>
  <c r="F16" i="1"/>
  <c r="F15" i="1"/>
  <c r="F14" i="1"/>
  <c r="F12" i="1"/>
  <c r="F11" i="1"/>
  <c r="F10" i="1"/>
  <c r="F9" i="1"/>
  <c r="F8" i="1"/>
  <c r="F7" i="1"/>
  <c r="F6" i="1"/>
  <c r="F5" i="1"/>
  <c r="F4" i="1"/>
  <c r="F3" i="1"/>
  <c r="F2" i="1"/>
</calcChain>
</file>

<file path=xl/sharedStrings.xml><?xml version="1.0" encoding="utf-8"?>
<sst xmlns="http://schemas.openxmlformats.org/spreadsheetml/2006/main" count="10308" uniqueCount="2383">
  <si>
    <t>ID</t>
  </si>
  <si>
    <t>Series ID</t>
  </si>
  <si>
    <t>ParentID</t>
  </si>
  <si>
    <t>Parent</t>
  </si>
  <si>
    <t>Depth</t>
  </si>
  <si>
    <t>Level</t>
  </si>
  <si>
    <t>IsVariable</t>
  </si>
  <si>
    <t>Name</t>
  </si>
  <si>
    <t>Data Source Acronym</t>
  </si>
  <si>
    <t>Sub-category</t>
  </si>
  <si>
    <t>Category</t>
  </si>
  <si>
    <t>Data Source</t>
  </si>
  <si>
    <t>Data Publication/Data Project #1</t>
  </si>
  <si>
    <t>Data Publication/Data Project #2</t>
  </si>
  <si>
    <t>Data Publication/Data Project #3</t>
  </si>
  <si>
    <t>Data Publication/Data Project #4</t>
  </si>
  <si>
    <t>Definition from Source</t>
  </si>
  <si>
    <t>Data Years Covered by Publication/Project Used in the IIAG</t>
  </si>
  <si>
    <t>Last Accessed</t>
  </si>
  <si>
    <t>Indicator Name at Source</t>
  </si>
  <si>
    <t>Raw Data Potential Range</t>
  </si>
  <si>
    <t>Raw Data Coding</t>
  </si>
  <si>
    <t>Link to Source Methodology</t>
  </si>
  <si>
    <t>Countries with no Data Across Time Series</t>
  </si>
  <si>
    <t>Countries with Single Data Point</t>
  </si>
  <si>
    <t>Outlier Treatment</t>
  </si>
  <si>
    <t>Notes</t>
  </si>
  <si>
    <t>Notes_2</t>
  </si>
  <si>
    <t>Notes_3</t>
  </si>
  <si>
    <t>GOVERNANCE</t>
  </si>
  <si>
    <t>OVERALL GOVERNANCE</t>
  </si>
  <si>
    <t>-</t>
  </si>
  <si>
    <t xml:space="preserve"> - </t>
  </si>
  <si>
    <t>IIAG calculation</t>
  </si>
  <si>
    <t xml:space="preserve">- </t>
  </si>
  <si>
    <t>Overall Governance assesses and is composed of Security &amp; Rule of Law, Participation, Rights &amp; Inclusion, Foundations for Economic Opportunity, as well as Human Development.</t>
  </si>
  <si>
    <t>SROL</t>
  </si>
  <si>
    <t>SECURITY &amp; RULE OF LAW</t>
  </si>
  <si>
    <t xml:space="preserve"> -</t>
  </si>
  <si>
    <r>
      <t xml:space="preserve">This category assesses and is composed of </t>
    </r>
    <r>
      <rPr>
        <i/>
        <sz val="10"/>
        <color rgb="FF000000"/>
        <rFont val="Bliss 2 Light"/>
        <family val="3"/>
      </rPr>
      <t>Security &amp; Safety, Rule of Law &amp; Justice, Accountability &amp; Transparency and Anti-Corruption</t>
    </r>
    <r>
      <rPr>
        <sz val="10"/>
        <color rgb="FF000000"/>
        <rFont val="Bliss 2 Light"/>
        <family val="3"/>
      </rPr>
      <t>.</t>
    </r>
  </si>
  <si>
    <t>SECSAF</t>
  </si>
  <si>
    <t xml:space="preserve">SECURITY &amp; SAFETY </t>
  </si>
  <si>
    <t>This sub-category assesses the absence of armed conflict and violence against civilians, the absence of forced migration, the absence of human trafficking and forced labour, the absence of crime, as well as the public perception of security and safety.</t>
  </si>
  <si>
    <t>AbsArmedConf</t>
  </si>
  <si>
    <t>Absence of Armed Conflict</t>
  </si>
  <si>
    <t>ACLED/UCDP</t>
  </si>
  <si>
    <t xml:space="preserve">This indicator measures the number of violent events in both state-based and non-state-based conflicts as well as the number of non-state-based armed conflicts within a country's territory. </t>
  </si>
  <si>
    <t>AbsViolEvStateConfACLED</t>
  </si>
  <si>
    <t>Absence of Violent Events in State-Based Conflict</t>
  </si>
  <si>
    <t>ACLED</t>
  </si>
  <si>
    <t>Armed Conflict Location &amp; Event Data Project</t>
  </si>
  <si>
    <t>Armed Conflict Location &amp; Event Dataset</t>
  </si>
  <si>
    <t xml:space="preserve">This sub-indicator measures the number of violent events that happen as a result of battles or explosions/remote violence between state forces and non-state actors. Battles are violent interactions between two politically organised armed groups and can occur between armed and organised state, non-state and external groups and in combination therein. Explosions/Remote violence are one-sided violent events in which the tool for engaging in conflict creates asymmetry by taking away the ability of the target to respond. State forces are defined as collective actors that are recognised to perform government functions, including military and police, over a given territory. Non-state actors include rebels, political and communal/identity militias and external forces. </t>
  </si>
  <si>
    <t>2014-2023</t>
  </si>
  <si>
    <t>Battles, explosions/remote violence</t>
  </si>
  <si>
    <t>0-indefinite</t>
  </si>
  <si>
    <t>Higher value is worse</t>
  </si>
  <si>
    <t>https://acleddata.com/resources/general-guides/</t>
  </si>
  <si>
    <t>None</t>
  </si>
  <si>
    <t>This sub-indicator was treated for outliers, which are extreme observations that appear to deviate markedly from other values of a sample. The raw data values were filtered so that the normalised scores would not be unduly influenced by extreme observations.
The filter fix was as follows:
All observations that lie more than 3 trimmed standard deviations from the trimmed mean are replaced with: trimmed mean + (3.1 x trimmed standard deviations) if they are in the right tail, and trimmed mean - (3.1 x trimmed standard deviations) if they are in the left tail.
The trimmed moments are computed on the 95% central part of the distribution (i.e. removing the bottom 2.5% and top 2.5%).</t>
  </si>
  <si>
    <t xml:space="preserve">• After consulting with the source, this sub-indicator is coded by MIF by counting the number of violent events involving the government or its agents in a country in a given year.
• From the ACLED dataset, the following are selected:
o Event type: battles
o Event type: explosions/remote violence
o Interaction code: 10 (code allocated for ‘sole military action’)
o Interaction code: 11 (code allocated for ‘military versus military’)
o Interaction code: 12 (code allocated for ‘military versus rebels’)
o Interaction code: 13 (code allocated for ‘military versus political militia’)
o Interaction code: 14 (code allocated for ‘military versus communal militia’)
o Interaction code:18 (code allocated for ‘military versus others’)
• The final values are a simple count of all the events classified by these criteria.
• It is important to note that these codes include a broader range of actors than 'military' but the state forces that are defined as collective actors that are recognised to perform government function, including the military and the police. 
• Rebel groups are defined as political organisations whose goal is to counter an established national governing regime by violent acts.
• Political militias are a more diverse set of violent actors, who are often created for a specific purpose or during a specific time period and for the furtherance of a  political purpose by violence. 
• "Identity militias” signify armed and violent groups organised around a collective, common feature including community, ethnicity, region, religion or, in exceptional cases, livelihood. Therefore, for ACLED’s purposes, identity militias include those reported as “tribal”, “communal”, “ethnic”, “local”, “clan”, and “religious” and “caste” militias. 
• Small categories of “other” actors include international organisations, state forces active outside of their main country of operation, private security firms and their armed employees, and hired mercenaries acting independently.
• If no events within the criteria are listed in the ACLED data set for a particular country in a particular year, these are coded as "0" indicating no events in that country in a given year. </t>
  </si>
  <si>
    <t>AbsNonStateConf</t>
  </si>
  <si>
    <t>Absence of Non-State Conflict</t>
  </si>
  <si>
    <t xml:space="preserve">This sub-indicator measures the number of non-state armed conflicts within a country's territory and the number of violent events inflicted by non-state actors. </t>
  </si>
  <si>
    <t>AbsNonStateConfUCDP</t>
  </si>
  <si>
    <t>Absence of Non-State Armed Conflict</t>
  </si>
  <si>
    <t>UCDP</t>
  </si>
  <si>
    <t>Department of Peace and Conflict Research Uppsala University</t>
  </si>
  <si>
    <t>Uppsala Conflict Data Program</t>
  </si>
  <si>
    <t>This sub-sub-indicator measures the number of non-state armed conflicts within a country's territory. Non-state armed conflict is defined by UCDP as the use of armed force between two organised armed groups, neither of which is the government of a state, which results in at least 25 battle-related deaths in a year. If a conflict spans across borders and takes place in multiple locations, the conflict is coded by MIF by adding it to the count for each affected country/year.</t>
  </si>
  <si>
    <t>Non-State Conflict</t>
  </si>
  <si>
    <t>https://ucdp.uu.se/downloads/nsos/ucdp-nonstate-221.pdf</t>
  </si>
  <si>
    <t xml:space="preserve">After consulting with the source, the sub-sub-indicator has been coded by MIF by counting the conflicts in a country’s territory (location) in a given year using the UCDP’s Non-State Conflict Dataset, version 22.1.
For conflicts that cross state borders (two locations), the conflict was added to the count for each affected country-year. Country-Years not featuring in the dataset are given a score of 0. </t>
  </si>
  <si>
    <t>AbsViolEvNonStateConfACLED</t>
  </si>
  <si>
    <t>Absence of Violent Events in Non-State Conflict</t>
  </si>
  <si>
    <t xml:space="preserve">This sub-sub-indicator measures the number of violent events that happen as a result of battles or explosions/remote violence between non-state actors. Battles are violent interactions between two politically organised armed groups and can occur between armed and organised state, non-state and external groups and in combination therein. Explosions/Remote violence are one-sided violent events in which the tool for engaging in conflict creates asymmetry by taking away the ability of the target to respond. Non-state actors include rebels, political and communal/identity militias and external forces. </t>
  </si>
  <si>
    <t>https://acleddata.com/resources/methodology/</t>
  </si>
  <si>
    <t>This sub-sub-indicator was treated for outliers, which are extreme observations that appear to deviate markedly from other values of a sample. The raw data values were filtered so that the normalised scores would not be unduly influenced by extreme observations.
The filter fix was as follows:
All observations that lie more than 3 trimmed standard deviations from the trimmed mean are replaced with: trimmed mean + (3.1 x trimmed standard deviations) if they are in the right tail, and trimmed mean - (3.1 x trimmed standard deviations) if they are in the left tail.
The trimmed moments are computed on the 95% central part of the distribution (i.e. removing the bottom 2.5% and top 2.5%).</t>
  </si>
  <si>
    <t xml:space="preserve">• After consulting with the source, this sub-sub-indicator is coded by MIF by counting the number of violent events between non-state actors in a country in given year.
• From the ACLED dataset, the following are selected:
o Event type: battles
o Event type: explosions/remote violence
o Interaction code: 20 (code allocated for ‘sole rebel action’)
o Interaction code: 22 (code allocated for ‘rebels versus rebels’)
o Interaction code: 23 (code allocated for ‘rebels versus political militia’)
o Interaction code: 24 (code allocated for ‘rebels versus communal militia’)
o Interaction code: 28 (code allocated for ‘rebels versus others’)
o Interaction code: 30 (code allocated for ‘sole political militia action’)
o Interaction code: 33 (code allocated for ‘political militia versus political militia’)
o Interaction code: 34 (code allocated for ‘political militia versus communal militia’)
o Interaction code: 38 (code allocated for ‘political militia versus others’)
o Interaction code: 40 (code allocated for ‘sole communal militia action’)
o Interaction code: 44 (code allocated for ‘communal militia versus communal militia’)
o Interaction code: 48 (code allocated for ‘communal militia versus others’)
• The final values are a simple count of all the events classified by these criteria.
• Rebel groups are defined as political organisations whose goal is to counter an established national governing regime by violent acts.
• Political militias are a more diverse set of violent actors, who are often created for a specific purpose or during a specific time period and for the furtherance of a  political purpose by violence. 
• "Identity militias” signify armed and violent groups organised around a collective, common feature including community, ethnicity, region, religion or, in exceptional cases, livelihood. Therefore, for ACLED’s purposes, identity militias include those reported as “tribal”, “communal”, “ethnic”, “local”, “clan”, and “religious” and “caste” militias. 
• Small categories of “other” actors include international organisations, state forces active outside of their main country of operation, private security firms and their armed employees, and hired mercenaries acting independently.
• If no events within the criteria are listed in the ACLED data set for a particular country in a particular year, these are coded as "0" indicating no events in that country in a given year. </t>
  </si>
  <si>
    <t>AbsViolCiv</t>
  </si>
  <si>
    <t>Absence of Violence against Civilians</t>
  </si>
  <si>
    <t>ACLED/PTS</t>
  </si>
  <si>
    <t xml:space="preserve">This indicator measures the number of violent events against civilians committed by government forces and non-state actors, as well as the levels of political violence in a country.   </t>
  </si>
  <si>
    <t>AbsHumRightAbbyGov</t>
  </si>
  <si>
    <t>Absence of Human Rights Abuses by the Government</t>
  </si>
  <si>
    <t>This sub-indicator measures the number of violent events against civilians perpetrated by government forces and the levels of political violence in a country.</t>
  </si>
  <si>
    <t>AbsGovViolenceCivACLED</t>
  </si>
  <si>
    <t>Absence of Government Violence against Civilians</t>
  </si>
  <si>
    <t>This sub-sub-indicator measures the number of violent events against civilians perpetrated by government forces. Violence against civilians is a violent event where an organised armed group deliberately inflicts violence upon unarmed non-combatants. By definition, civilians are unarmed and not engaged in political violence. Protesters are also civilians, and significant violence against protesters falls under this category. State forces are defined as collective actors that are recognised to perform government functions, including military and police, over a given territory.</t>
  </si>
  <si>
    <t>Explosions/remote violence, violence against civilians, protests (remove protests with intervention)</t>
  </si>
  <si>
    <t>• After consulting with the source, this sub-sub-indicator is coded by MIF by counting the number of events involving government violence against civilians in a country in a given year.
• From the ACLED dataset, the following are selected:
o Event type: violence against civilians
o Event type: explosions/remote violence
o Event type: protests, excluding sub-event type protest with intervention
o Interaction code: 16 (code allocated for ‘military/police versus protesters’)
o Interaction code: 17 (code allocated for ‘military/police versus civilians’)
• The final values are a simple count of all the events classified by these criteria.
• It is important to note that these codes include a broader range of actors than 'military'. State forces are defined as collective actors that are recognised to perform government function, including the military and the police. 
• The sub-event type protest with intervention captures events where individuals are engaged in a peaceful protest during which there is an attempt to disperse or suppress the protest without serious/lethal injuries being reported or the targeting of protesters with lethal weapons.
• If no events within the criteria are listed in the ACLED data set for a particular country in a particular year, these are coded as "0" indicating no events in that country in a given year.</t>
  </si>
  <si>
    <t>AbsPolViolencePTS</t>
  </si>
  <si>
    <t>Sub-sub-indicator</t>
  </si>
  <si>
    <t>Absence of Political Violence</t>
  </si>
  <si>
    <t>PTS</t>
  </si>
  <si>
    <t>The Political Terror Scale</t>
  </si>
  <si>
    <t xml:space="preserve">This sub-sub-indicator assesses the levels of polit­ic­al vi­ol­ence and ter­ror that a coun­try ex­per­i­ences in a par­tic­u­lar year based on a 5-level “ter­ror scale”. Political terror is defined as violations of basic human rights to the physical integrity of the person by agents of the state within the territorial boundaries of the state in question. It includes torture and cruel and unusual treatment and punishment; beatings, excessive use of force, brutality; rape and sexual violence; killings and unlawful use of deadly force; summary or extra-judicial executions; political assassinations and murder; political imprisonment, arbitrary arrest and detention; incommunicado and clandestine imprisonment and detention; forced disappearances; kidnappings, forced relocations and removal. </t>
  </si>
  <si>
    <t>2014-2022</t>
  </si>
  <si>
    <t>PTS_A/PTS_H/PTS_S</t>
  </si>
  <si>
    <t>1-5</t>
  </si>
  <si>
    <t>http://www.politicalterrorscale.org/Data/Documentation.html</t>
  </si>
  <si>
    <t xml:space="preserve">The Political Terror Scale consists of data from three sources: Amnesty International, U.S. State Department and Human Rights Watch. MIF calculates the average of these three PTS variables (when available) to arrive at the values used for this variable in the IIAG. </t>
  </si>
  <si>
    <t>AbsNonStateViolCivACLED</t>
  </si>
  <si>
    <t>Absence of Non-State Actor Violence against Civilians</t>
  </si>
  <si>
    <t xml:space="preserve">This sub-indicator measures the number of violent events against civilians perpetrated by non-state actors. Violence against civilians is a violent event where an organised armed group deliberately inflicts violence upon unarmed non-combatants. By definition, civilians are unarmed and not engaged in political violence. Protesters are also civilians, and significant violence against protesters falls under this category. Non-state actors include rebels, political and communal/identity militias and external forces. </t>
  </si>
  <si>
    <t xml:space="preserve">• After consulting with the source, this sub-indicator is coded by MIF by counting the number of events involving non-state actor violence against civilians in a country in a given year.
• From the ACLED dataset, the following are selected:
o Event type: violence against civilians
o Event type: explosions/remote violence
o Event type: protests, excluding sub-event type protest with intervention
o Interaction code: 26 (code allocated for ‘rebels versus protesters’)
o Interaction code: 27 (code allocated for ‘rebels versus civilians’)
o Interaction code: 36 (code allocated for ‘political militia versus protesters’)
o Interaction code: 37 (code allocated for ‘political militia versus civilians’)
o Interaction code: 46 (code allocated for ‘communal militia versus protesters’)
o Interaction code: 47 (code allocated for ‘communal militia versus civilians’)
o Interaction code: 68 (code allocated for ‘protesters versus others’)
o Interaction code: 78 (code allocated for ‘others versus civilians’)
• The final values are a simple count of all the events classified by these criteria.
• The sub-event type protest with intervention captures events where individuals are engaged in a peaceful protest during which there is an attempt to disperse or suppress the protest without serious/lethal injuries being reported or the targeting of protesters with lethal weapons.
• Rebel groups are defined as political organisations whose goal is to counter an established national governing regime by violent acts.
• Political militias are a more diverse set of violent actors, who are often created for a specific purpose or during a specific time period and for the furtherance of a  political purpose by violence. 
• "Identity militias” signify armed and violent groups organised around a collective, common feature including community, ethnicity, region, religion or, in exceptional cases, livelihood. Therefore, for ACLED’s purposes, identity militias include those reported as “tribal”, “communal”, “ethnic”, “local”, “clan”, and “religious” and “caste” militias. 
• Small categories of “other” actors include international organisations, state forces active outside of their main country of operation, private security firms and their armed employees, and hired mercenaries acting independently.
• If no events within the criteria are listed in the ACLED data set for a particular country in a particular year, these are coded as "0" indicating no events in that country in a given year. </t>
  </si>
  <si>
    <t>AbsForcedMig</t>
  </si>
  <si>
    <t>Absence of Forced Migration</t>
  </si>
  <si>
    <t>IDMC/UNHCR</t>
  </si>
  <si>
    <t xml:space="preserve">This indicator estimates the total stock of internally displaced persons (IDPs) and the number of refugees fleeing a country. </t>
  </si>
  <si>
    <t>AbsIDPsIDMC</t>
  </si>
  <si>
    <t>Absence of Internally Displaced Persons (IDPs)</t>
  </si>
  <si>
    <t>IDMC</t>
  </si>
  <si>
    <t>Internal Displacement Monitoring Centre</t>
  </si>
  <si>
    <t>Global Internal Displacement Database (GIDD)</t>
  </si>
  <si>
    <t>This sub-indicator estimates the total stock of internally displaced persons (IDPs) due to conflict and violence in a given year, calculated by MIF per 100,000 population using the World Population Prospects by UNDESA. IDMC defines IDPs as “persons or groups of persons who have been forced or obliged to flee or to leave their homes or places of habitual residence, in particular as a result of or in order to avoid the effects of armed conflict, situations of generalised violence, violations of human rights or natural or human-made disasters, and who have not crossed an internationally recognised state border.”</t>
  </si>
  <si>
    <t>Conflict Stock Displacement</t>
  </si>
  <si>
    <t>https://www.internal-displacement.org/monitoring-tools/</t>
  </si>
  <si>
    <t>Angola, Botswana, Cabo Verde, Comoros, Djibouti, Equatorial Guinea, Eswatini, Gabon, Gambia, Guinea, Guinea-Bissau, Lesotho, Malawi, Mauritania, Mauritius, Morocco, Namibia, Rwanda, São Tomé and Príncipe, Seychelles, Tunisia, Tanzania, Zambia, Zimbabwe</t>
  </si>
  <si>
    <t>Algeria, Eritrea, Liberia, South Africa</t>
  </si>
  <si>
    <t>Following advice from source, country years not covered should be coded as missing as a lack of data is very different from a lack of displacement. This approach means that the variable does not meet the inclusion criteria as only 26 countries have at least two data points across the 2024 IIAG time series with the latest one being within the last three years (the minimum threshold is 33 African countries). Due to the uniqueness of the data and the importance of measuring IDPs in the IIAG, as well as the expected availability of data in the future, MIF has decided to make an exception to the IIAG variable inclusion criteria for this variable.</t>
  </si>
  <si>
    <t xml:space="preserve">Data is adjusted per 100,000 of the population by MIF, using the mid-year point (1 July) of UNDESA's World Population Prospects 2022 data. </t>
  </si>
  <si>
    <t>AbsRefUNHCR</t>
  </si>
  <si>
    <t>Absence of Refugees</t>
  </si>
  <si>
    <t>UNHCR</t>
  </si>
  <si>
    <t>United Nations High Commissioner for Refugees</t>
  </si>
  <si>
    <t>UNHCR’s Refugee Population Statistics Database</t>
  </si>
  <si>
    <t>This sub-indicator estimates the number of people fleeing a country due to persecution, conflict, violence, human rights violations or events seriously disturbing public order, calculated by MIF per 100,000 population using the World Population Prospects by UNDESA. Refugees, as defined by the Office of the United Nations High Commissioner for Refugees (UNHCR), include individuals recognised under the 1951 Convention relating to the Status of Refugees; its 1967 Protocol; the 1969 Organisation of African Unity (OAU) Convention Governing the Specific Aspects of Refugee Problems in Africa; the refugee definition contained in the 1984 Cartagena Declaration on Refugees as incorporated into national laws; those recognised in accordance with the UNHCR Statute; individuals granted complementary forms of protection; and those enjoying temporary protection. The refugee population also includes people in refugee-like situations.</t>
  </si>
  <si>
    <t>Population figures, Totals: Refugees (including people in refugee-like situation) by country of origin</t>
  </si>
  <si>
    <t>https://www.unhcr.org/refugee-statistics/methodology/</t>
  </si>
  <si>
    <t>Data is adjusted per 100,000 of the population by MIF, using the mid-year point (1 July) of UNDESA's World Population Prospects 2022 data.</t>
  </si>
  <si>
    <t>AbHumTraForcLab</t>
  </si>
  <si>
    <t>Absence of Human Trafficking &amp; Forced Labour</t>
  </si>
  <si>
    <t>ENACT/V-DEM</t>
  </si>
  <si>
    <t xml:space="preserve">This indicator assesses the extent to which human trafficking activity and forced labour are prevalent in a country. </t>
  </si>
  <si>
    <t>AbsHumTraffENACT</t>
  </si>
  <si>
    <t>Sub-indicator</t>
  </si>
  <si>
    <t>Absence of Human Trafficking</t>
  </si>
  <si>
    <t>ENACT</t>
  </si>
  <si>
    <t>ENACT Africa</t>
  </si>
  <si>
    <t>Africa Organised Crime Index</t>
  </si>
  <si>
    <t>This sub-indicator assesses the extent of human trafficking activity. Human trafficking includes activity, means and purpose, and reflects all stages of the illicit activity, from recruitment and transfer, to harbouring and receipt of persons and it does not require the movement of persons. In line with the Protocol to Prevent, Suppress and Punish Trafficking in Persons, Especially Women and Children, supplementing the United Nations Convention against Transnational Organized Crime (UNTOC), exploitation shall include, at a minimum, the exploitation or the prostitution of others or other forms of sexual exploitation, forced labour or services, slavery or practices similar to slavery, servitude or the removal of organs.</t>
  </si>
  <si>
    <t>2018, 2020, 2022</t>
  </si>
  <si>
    <t>Human trafficking</t>
  </si>
  <si>
    <t>1-10</t>
  </si>
  <si>
    <t>https://ocindex.net/assets/downloads/english/ocindex_methodology.pdf</t>
  </si>
  <si>
    <t>Data from source is provided with a year lag. 2023 scores from source are for the 2022 IIAG data year, etc.</t>
  </si>
  <si>
    <t>AbsForcLabVDEM</t>
  </si>
  <si>
    <t>Absence of Forced Labour</t>
  </si>
  <si>
    <t>V-DEM</t>
  </si>
  <si>
    <t>Varieties of Democracy Institute</t>
  </si>
  <si>
    <t>Varieties of Democracy Project</t>
  </si>
  <si>
    <t>This sub-indicator assesses the extent to which adult citizens are free from servitude and other kinds of forced labour. Involuntary servitude occurs when an adult is unable to quit a job they desire to leave, not by reason of economic necessity but rather by reason of employer’s coercion. This includes labour camps but not work or service which forms part of normal civic obligations such as conscription or employment in command economies.</t>
  </si>
  <si>
    <t>v2xcl_slave (Freedom from forced labor)</t>
  </si>
  <si>
    <t>0-1</t>
  </si>
  <si>
    <t>Higher value is better</t>
  </si>
  <si>
    <t>https://www.v-dem.net/documents/39/v-dem_methodology_v14.pdf</t>
  </si>
  <si>
    <t>For all V-DEM variables, when available variable with suffix _osp is collected.</t>
  </si>
  <si>
    <t>AbsCrim</t>
  </si>
  <si>
    <t>Absence of Crime</t>
  </si>
  <si>
    <t>ENACT/WHO</t>
  </si>
  <si>
    <t>IIAG Calculation</t>
  </si>
  <si>
    <t xml:space="preserve">This indicator assesses the extent of organised crime in a country and the homicide rate. </t>
  </si>
  <si>
    <t>AbsOrgCrim</t>
  </si>
  <si>
    <t>Absence of Organised Crime</t>
  </si>
  <si>
    <t xml:space="preserve">This sub-indicator assesses the extent of organised crime in a country based on the presence of criminal actors and criminal markets.  </t>
  </si>
  <si>
    <t>AbsCrimActENACT</t>
  </si>
  <si>
    <t>Absence of Criminal Actors</t>
  </si>
  <si>
    <t xml:space="preserve">This sub-sub-indicator assesses the extent of the presence of criminal actors including mafia-style groups, criminal networks, state-embedded actors, and foreign actors. </t>
  </si>
  <si>
    <t>Criminal Actors Score</t>
  </si>
  <si>
    <t>AbsCrimMarkENACT</t>
  </si>
  <si>
    <t>Absence of Criminal Markets</t>
  </si>
  <si>
    <t xml:space="preserve">This sub-sub-indicator assesses the extent of the presence of criminal markets including human smuggling, arms trafficking, non-renewable resource crimes, heroin trade, cocaine trade, cannabis trade, and synthetic drugs trade. </t>
  </si>
  <si>
    <t xml:space="preserve">Human smuggling, Arms trafficking, Non-renewable resource crimes, Heroin trade, Cocaine trade, Cannabis trade, Synthetic drug trade </t>
  </si>
  <si>
    <t>The score for this sub-sub-indicator was calculated by MIF, using an unweighted average comprised of the following scores: Human Smuggling; Arms trafficking; Non-renewable resource crimes; Heroin trade; Cocaine trade; Cannabis Trade; Synthetic drug trade.</t>
  </si>
  <si>
    <t>AbsHomWHO</t>
  </si>
  <si>
    <t>Absence of Homicides</t>
  </si>
  <si>
    <t>WHO</t>
  </si>
  <si>
    <t>World Health Organization</t>
  </si>
  <si>
    <t>Global Health Observatory</t>
  </si>
  <si>
    <t>This sub-indicator estimates the rate of homicides per 100,000 population, drawing on data provided by countries from police and vital registration sources; data from UNODC’s global studies on homicide; and data from WHO’s Mortality Database. A homicide is defined as the killing of a person by another with intent to cause death or serious injury. Infanticide is included. Cases where the perpetrator was merely reckless or negligent are excluded.</t>
  </si>
  <si>
    <t>2014-2019</t>
  </si>
  <si>
    <t>Estimates of rates of homicides per 100 000 population</t>
  </si>
  <si>
    <t>0-100,000</t>
  </si>
  <si>
    <t>https://www.who.int/data/gho/data/indicators/indicator-details/GHO/estimates-of-rates-of-homicides-per-100-000-population</t>
  </si>
  <si>
    <t>PubPercSaf</t>
  </si>
  <si>
    <t>Indicator</t>
  </si>
  <si>
    <t>Public Perception of Security &amp; Safety</t>
  </si>
  <si>
    <t>AFR</t>
  </si>
  <si>
    <t>This indicator assesses the extent to which citizens feel safe walking in their neighbourhood, public trust in the police and military, as well as the extent to which citizens are satisfied with how the government is doing at reducing crime.</t>
  </si>
  <si>
    <t>AbsFearCrimAFR</t>
  </si>
  <si>
    <t>Absence of Fear of Crime</t>
  </si>
  <si>
    <t>Afrobarometer</t>
  </si>
  <si>
    <t>Afrobarometer Surveys</t>
  </si>
  <si>
    <t>This sub-indicator assesses the extent to which citizens feel safe walking in their neighbourhood.</t>
  </si>
  <si>
    <t>How often felt unsafe walking in neighbourhood</t>
  </si>
  <si>
    <t>0-100</t>
  </si>
  <si>
    <t>higher value is better</t>
  </si>
  <si>
    <t>https://afrobarometer.org/surveys-and-methods</t>
  </si>
  <si>
    <t>Central African Republic, Chad, Comoros, DR Congo, Djibouti, Equatorial Guinea, Eritrea, Guinea-Bissau, Libya, Rwanda, Somalia, South Sudan</t>
  </si>
  <si>
    <t>Algeria, Burundi, Congo Republic, Egypt, Mauritania, Seychelles</t>
  </si>
  <si>
    <t xml:space="preserve">MIF codes this indicator/sub-indicator/sub-sub-indicator as the sum of the two most positive responses to the question as a percentage of all responses. For a comprehensive overview of how Afrobarometer data is used in the IIAG see http://mo.ibrahim.foundation/iiag/methodology/
Sometimes the two most positive responses can be “negative” responses like never or rarely. The total of responses (our denominator) includes “Don’t knows” and “Refused to answer” but excludes “Missings” (usually coded as “-1”) and “Not applicable”/”No contact” (usually coded as “7”). For some questions with a lot of “Not applicable” answers, sample size can be very small after excluding those.
Data years are assigned according to the year in which AFR concluded its fieldwork in the country for the specific round. </t>
  </si>
  <si>
    <t>Datasets for the different rounds were shared with MIF directly by the source</t>
  </si>
  <si>
    <t>PubTrustPolMil</t>
  </si>
  <si>
    <t>Public Trust in the Police &amp; Military</t>
  </si>
  <si>
    <t>This sub-indicator assesses the extent to which citizens trust the police and the army.</t>
  </si>
  <si>
    <t>PubTrustPolAFR</t>
  </si>
  <si>
    <t>Public Trust in the Police</t>
  </si>
  <si>
    <t>This sub-sub-indicator assesses the extent to which citizens trust the police.</t>
  </si>
  <si>
    <t>Trust police</t>
  </si>
  <si>
    <t>PubTrustMilAFR</t>
  </si>
  <si>
    <t>Public Trust In the Military</t>
  </si>
  <si>
    <t>This sub-sub-indicator assesses the extent to which citizens trust the army.</t>
  </si>
  <si>
    <t>Trust army</t>
  </si>
  <si>
    <t>SatGovHandCrimAFR</t>
  </si>
  <si>
    <t>Satisfaction with Government Handling Crime</t>
  </si>
  <si>
    <t xml:space="preserve">This sub-indicator assesses the extent to which citizens feel the government is doing well at reducing crime. </t>
  </si>
  <si>
    <t>Handling reducing crime</t>
  </si>
  <si>
    <t>ROLJUS</t>
  </si>
  <si>
    <t>RULE OF LAW &amp; JUSTICE</t>
  </si>
  <si>
    <t>This sub-category assesses compliance with the rule of law by the executive, the impartiality of the judicial system, judicial processes (including access, affordability, due and fair process, timeliness and enforcement), equality before the law, law enforcement, property rights, as well as the public perception of the rule of law.</t>
  </si>
  <si>
    <t>ExecCompRoL</t>
  </si>
  <si>
    <t>Executive Compliance with the Rule of Law</t>
  </si>
  <si>
    <t>V-DEM/WJP</t>
  </si>
  <si>
    <t xml:space="preserve">This indicator assesses the extent to which the executive respects the constitution, the government complies with decisions by the courts and transitions of power are subject to the law. </t>
  </si>
  <si>
    <t>ResConExVDEM</t>
  </si>
  <si>
    <t>Executive Compliance with the Constitution</t>
  </si>
  <si>
    <t>This sub-indicator assesses the extent to which members of the executive (the head of state, the head of government and cabinet ministers) respect the constitution.</t>
  </si>
  <si>
    <t>v2exrescon_osp (Executive respects constitution)</t>
  </si>
  <si>
    <t>0-4</t>
  </si>
  <si>
    <t>ConstChPow</t>
  </si>
  <si>
    <t>Constitutional Changes of Power</t>
  </si>
  <si>
    <t xml:space="preserve">This sub-indicator assesses the extent to which transitions of power are subject to law and the power base of the chief executive is not determined by the military. </t>
  </si>
  <si>
    <t>LawTranpowWJP</t>
  </si>
  <si>
    <t>Lawful Transfers of Power</t>
  </si>
  <si>
    <t>WJP</t>
  </si>
  <si>
    <t>World Justice Project</t>
  </si>
  <si>
    <t>Rule of Law Index</t>
  </si>
  <si>
    <t xml:space="preserve">This sub-sub-indicator assesses the extent to which transition of power is subject to the law. This is based on the following criteria: the extent to which the chief executive (President, Prime Minister, etc.) was elected through a clean process and in accordance with rules and procedures set forth in the constitution, with coup d'états penalised; the extent to which local government officials are elected through a clean process; the extent to which there are detailed election results readily available for public scrutiny; the extent to which in practice proper checks and balances exist to maintain public confidence in the electoral process and the extent to which people can vote freely without feeling harassed or pressured; the extent to which in practice, the electoral appeals court is free of political influence in its application of power. </t>
  </si>
  <si>
    <t>2014, 2016, 2017, 2018, 2019, 2021, 2022, 2023</t>
  </si>
  <si>
    <t>Transition of power is subject to the law</t>
  </si>
  <si>
    <t>https://worldjusticeproject.org/sites/default/files/documents/INDEX_2021_methodology.pdf</t>
  </si>
  <si>
    <t>Burundi, Cabo Verde, Central African Republic, Chad, Comoros, Djibouti, Equatorial Guinea, Eritrea, Eswatini, Guinea-Bissau, Lesotho, Libya, São Tomé and Príncipe, Seychelles, Somalia, South Sudan</t>
  </si>
  <si>
    <t xml:space="preserve">Before 2015 scores across iterations of the Rule of Law Index are not strictly comparable. Therefore, the IIAG does not include any variables from iterations prior to the 2015 Rule of Law Index. </t>
  </si>
  <si>
    <t xml:space="preserve">There is a year lag at data provided from source for some iterations of the Rule of Law Index. The 2021 edition of the Rule of Law Index refers to 2021 IIAG data year, the 2020 edition of the Rule of Law Index refers to the 2019 IIAG data year, the 2019 Rule of Law Index to the 2018 IIAG data year, the 2017/2018 Rule of Law Index to the 2017 IIAG data year, the 2016 Rule of Law Index to the 2016 IIAG data year and the 2015 Rule of Law Index to the 2014 IIAG data year. </t>
  </si>
  <si>
    <t>AbsMilChPowVDEM</t>
  </si>
  <si>
    <t>Absence of Military-Determined Changes of Power</t>
  </si>
  <si>
    <t>This sub-sub-indicator assesses to the extent to which the power base of the chief executive is determined by the military.</t>
  </si>
  <si>
    <t>v2x_ex_military (Military dimension index)</t>
  </si>
  <si>
    <t>ExecCompJudDecVDEM</t>
  </si>
  <si>
    <t>Executive Compliance with Judicial Decisions</t>
  </si>
  <si>
    <t xml:space="preserve">This sub-indicator assesses the extent to which government complies with important decisions by courts other than the high court with which it disagrees. </t>
  </si>
  <si>
    <t>v2jucomp_osp (Compliance with Judiciary)</t>
  </si>
  <si>
    <t>JudSys</t>
  </si>
  <si>
    <t>Impartiality of the Judicial System</t>
  </si>
  <si>
    <t>AFIDEP/V-DEM</t>
  </si>
  <si>
    <t xml:space="preserve">This indicator assesses the extent to which the judicial system is impartial based on the independence of the courts, the autonomy of judges and the appointment of judges. </t>
  </si>
  <si>
    <t>JudInd</t>
  </si>
  <si>
    <t>Judicial Independence</t>
  </si>
  <si>
    <t>This sub-indicator assesses the extent to which the high court, lower courts and judges are independent.</t>
  </si>
  <si>
    <t>IndCourtVDEM</t>
  </si>
  <si>
    <t>Independence of Courts</t>
  </si>
  <si>
    <t>This sub-sub-indicator assesses the extent to which the high court and the lower court in the judicial system are, in cases salient to the government, making decisions that merely reflect government wishes regardless of its sincere view of the legal record.</t>
  </si>
  <si>
    <t>Bespoke: High court independence (v2juhcind), Lower court independence (v2juncind)</t>
  </si>
  <si>
    <t>Bespoke index (raw data scores are a combination of selected variables from the V-Dem dataset) calculated for MIF by V-DEM for the purpose of the IIAG. Raw data scores for this variable are made available via the IIAG Excel and online data portal. It consists of the V-DEM variables: High Court Independence, Lower Court Independence.</t>
  </si>
  <si>
    <t>JudAutoGI</t>
  </si>
  <si>
    <t>Judicial Autonomy</t>
  </si>
  <si>
    <t>AFIDEP</t>
  </si>
  <si>
    <t>African Institute for Development Policy</t>
  </si>
  <si>
    <t>Africa Integrity Indicators</t>
  </si>
  <si>
    <t>This sub-sub-indicator assesses the extent to which judges have autonomy to interpret and review existing laws, legislation and policy, and judges operate without fear or favour, independent from other branches of government.</t>
  </si>
  <si>
    <t>In practice, the independence of the judiciary is guaranteed</t>
  </si>
  <si>
    <t>https://www.africaintegrityindicators.org/methodology</t>
  </si>
  <si>
    <t>Data from source is provided with a year lag. 2024 scores from source are for the 2023 IIAG data year, etc.</t>
  </si>
  <si>
    <t>AppJudPers</t>
  </si>
  <si>
    <t>Judicial Appointments</t>
  </si>
  <si>
    <t xml:space="preserve">This sub-indicator assesses the extent to which the appointment of judges is merit-based and independent and there are no judicial purges. </t>
  </si>
  <si>
    <t>AppJudPersGI</t>
  </si>
  <si>
    <t>Appointment of Judges</t>
  </si>
  <si>
    <t>This sub-sub-indicator assesses the extent to which national-level judges are chosen through a merit-based selection system, have security of tenure, and are disciplined/removed/transferred only through due process by a peer panel/independent oversight body.</t>
  </si>
  <si>
    <t>In practice, national-level judges appointments (justices or magistrates) support the independence of the judiciary</t>
  </si>
  <si>
    <t>AbsJudPurgVDEM</t>
  </si>
  <si>
    <t>Absence of Judicial Purges</t>
  </si>
  <si>
    <t>This sub-sub-indicator assesses the extent to which the removal of judges is done arbitrarily, typically for political reasons.</t>
  </si>
  <si>
    <t>v2jupurge_osp (Judicial Purges)</t>
  </si>
  <si>
    <t>JudProc</t>
  </si>
  <si>
    <t>Judicial Processes</t>
  </si>
  <si>
    <t xml:space="preserve">This indicator assesses the extent to which justice is accessible and affordable, due process of law and rights of the accused are guaranteed, trials are timely, and justice is enforced effectively. </t>
  </si>
  <si>
    <t>AccAffJus</t>
  </si>
  <si>
    <t>Access to &amp; Affordability of Justice</t>
  </si>
  <si>
    <t>This sub-indicator assesses the extent to which justice is accessible and affordable.</t>
  </si>
  <si>
    <t>AccJusVDEM</t>
  </si>
  <si>
    <t>Access to Justice</t>
  </si>
  <si>
    <t>This sub-sub-indicator assesses whether citizens enjoy secure and effective access to justice.</t>
  </si>
  <si>
    <t>v2xcl_acjst (Access to Justice)</t>
  </si>
  <si>
    <t>AccAffCivJusWJP</t>
  </si>
  <si>
    <t>Access to &amp; Affordability of Civil Justice</t>
  </si>
  <si>
    <t xml:space="preserve">This sub-sub-indicator assesses the extent to which people can access and afford civil justice. This is based on the following criteria: the extent to which people are aware of available remedies, such as court procedures, formal justice mechanisms through which grievances could be addressed; their legal rights in the event of arrest or interrogation;  the complexity of legal procedures; the extent to which people can access and afford legal advice and representation; the extent to which  physical location or language barriers prevent access to courts; the extent to which the costs of courts, lawyers and procedures are expensive.  </t>
  </si>
  <si>
    <t>People can access and afford civil justice</t>
  </si>
  <si>
    <t xml:space="preserve">Before 2015 scores across iterations of the Rule of Law Index are not strictly comparable. Therefore, the IIAG does not include any variables from iterations prior to the 2015 Rule of Law Index. 
Between different iterations, there have also been changes in the construction of indicators, compromising strict comparability. In the case of this variable, data is included as of the 2016 edition of the Rule of Law Index.  </t>
  </si>
  <si>
    <t>DueFairProcWJP</t>
  </si>
  <si>
    <t>Due &amp; Fair Process</t>
  </si>
  <si>
    <t xml:space="preserve">This sub-indicator assesses the extent to which due process of law and the rights of accused are guaranteed. This is based on the following criteria: the presumption of innocence; the conditions and duration of arrests and pre-trial detention; the extent to which suspects are subject to torture and abusive treatment; the access to legal assistance; the rights of prisoners. </t>
  </si>
  <si>
    <t>Due process of law and rights of the accused</t>
  </si>
  <si>
    <t xml:space="preserve">Before 2015 scores across iterations of the Rule of Law Index are not strictly comparable. Therefore, the IIAG does not include any variables from iterations prior to the 2015 Rule of Law Index. Between different iterations, there have also been changes in the construction of indicators, compromising strict comparability. In the case of this variable, data is included as of the 2017/18 edition of the Rule of Law Index.  </t>
  </si>
  <si>
    <t>TimeTrial</t>
  </si>
  <si>
    <t>Timeliness of Trials</t>
  </si>
  <si>
    <t xml:space="preserve">This sub-indicator assesses the extent to which civil justice and criminal justice are timely and not subject to unreasonable delays. </t>
  </si>
  <si>
    <t>TimeCivJusWJP</t>
  </si>
  <si>
    <t>Timeliness of Civil Justice</t>
  </si>
  <si>
    <t xml:space="preserve">This sub-sub-indicator assesses the extent to which civil justice is not subject to unreasonable delays. This includes delays in adjudicating disputes and the general perception of delay. </t>
  </si>
  <si>
    <t>Civil justice is not subject to unreasonable delay</t>
  </si>
  <si>
    <t xml:space="preserve">Before 2015 scores across iterations of the Rule of Law Index are not strictly comparable. Therefore, the IIAG does not include any variables from iterations prior to the 2015 Rule of Law Index. Between different iterations, there have also been changes in the construction of indicators, compromising strict comparability. In the case of this variable, data is included as of the 2016 edition of the Rule of Law Index.  </t>
  </si>
  <si>
    <t>TimeCrimJusWJP</t>
  </si>
  <si>
    <t>Timeliness of Criminal Justice</t>
  </si>
  <si>
    <t xml:space="preserve">This sub-sub-indicator assesses the timeliness of the criminal adjudication system. This is based on the following criteria: time taken to convict a suspect of a crime; how long a detained suspect can remain in custody without a formal conviction; the extent to which there are delays in the criminal justice system. </t>
  </si>
  <si>
    <t>2016, 2017, 2018, 2019, 2021, 2022, 2023</t>
  </si>
  <si>
    <t xml:space="preserve">Timeliness (criminal adjudication system) </t>
  </si>
  <si>
    <t xml:space="preserve">Before 2015 scores across iterations of the Rule of Law Index are not strictly comparable. Therefore, the IIAG does not include any variables from iterations prior to the 2015 Rule of Law Index. Between different iterations, there have also been changes in the construction of indicators, compromising strict comparability. In the case of this variable, data is included as of the 2016 edition of the Rule of Law Index.  
WJP does not publish raw data for sub-sub-factors of their framework. For the purpose of the IIAG, data on this variable was thus shared by WJP with MIF. Raw data for this variable is available via the IIAG Excel and online data portal. </t>
  </si>
  <si>
    <t>For the 2016 edition of the Rule of Law Index, the average for this variable was calculated with questions that have less than five QRQ experts in Cameroon, Ghana and Zambia. For the 2019 edition of the Rule of Law Index, the average for this variable was calculated with questions that have less than five QRQ experts in Egypt, Mauritania, Mozambique and Niger. For the 2021 edition of the Rule of Law Index, the average for this variable was calculated with questions that have less than five QRQ experts in Sudan. 
For the 2016 edition of the Rule of Law Index, one or more questions were removed from the average of the variable due to a failure to validate the data points for these questions in Burkina Faso and Madagascar. For the 2020 edition of the Rule of Law Index, one or more questions were removed from the average of the variable due to a failure to validate the data points for these questions in Algeria and Morocco. For the 2021 edition of the Rule of Law Index, one or more questions were removed from the average of the variable due to a failure to validate the data points for these questions in Morocco, Sudan and Tunisia.</t>
  </si>
  <si>
    <t>EnfJudDec</t>
  </si>
  <si>
    <t>Enforcement of Justice</t>
  </si>
  <si>
    <t xml:space="preserve">This sub-indicator assesses the extent to which civil and criminal justice are effectively enforced. </t>
  </si>
  <si>
    <t>EnfCivJusWJP</t>
  </si>
  <si>
    <t>Enforcement of Civil Justice</t>
  </si>
  <si>
    <t>This sub-sub-indicator assesses the extent to which civil justice is effectively enforced. This takes into account both the efficiency of enforcement mechanisms as well as delays in enforcing judicial decisions.</t>
  </si>
  <si>
    <t>Civil justice is effectively enforced</t>
  </si>
  <si>
    <t>EnfCrimJusWJP</t>
  </si>
  <si>
    <t>Enforcement of Criminal Justice</t>
  </si>
  <si>
    <t xml:space="preserve">This sub-sub-indicator assesses the effectiveness of the criminal justice system. This is based on the following criteria: the decisions of criminal judges; the extent to which perpetrators are caught, prosecuted or punished for crimes such as breaking and entering and theft, murder, homicide or armed robbery.  </t>
  </si>
  <si>
    <t>Effective (criminal adjudication system)</t>
  </si>
  <si>
    <t xml:space="preserve">Before 2015 scores across iterations of the Rule of Law Index are not strictly comparable. Therefore, the IIAG does not include any variables from iterations prior to the 2015 Rule of Law Index. Between different iterations, there have also been changes in the construction of indicators, compromising strict comparability. In the case of this variable, data is included as of the 2016 edition of the Rule of Law Index. 
WJP does not publish raw data for sub-sub-factors of their framework. For the purpose of the IIAG, data on this variable was thus shared by WJP with MIF. Raw data for this variable is available via the IIAG Excel and online data portal. </t>
  </si>
  <si>
    <t xml:space="preserve">For the 2016 edition of the Rule of Law Index, the average for this variable was calculated with questions that have less than five QRQ experts in Cameroon, Ghana and Zambia. For the 2019 edition of the Rule of Law Index, the average for this variable was calculated with questions that have less than five QRQ experts in Egypt, Mauritania, Mozambique and Niger. For the 2021 edition of the Rule of Law Index, the average for this variable was calculated with questions that have less than five QRQ experts in Sudan.
For the 2016 edition of the Rule of Law Index, one or more questions were removed from the average of the variable due to a failure to validate the data points for these questions in Malawi and Morocco. For the 2017/18 edition of the Rule of Law Index, one or more questions were removed from the average of the variable due to a failure to validate the data points for these questions in Burkina Faso, Egypt, Kenya and Zimbabwe. For the 2019 edition of the Rule of Law Index, one or more questions were removed from the average of the variable due to a failure to validate the data points for these questions in Burkina Faso, Egypt, Kenya and Zimbabwe. For the 2020 edition of the Rule of Law Index, one or more questions were removed from the average of the variable due to a failure to validate the data points for these questions in Burkina Faso, Egypt, Gambia, Kenya, Morocco, Sierra Leone and Zimbabwe. For the 2021 edition of the Rule of Law Index, one or more questions were removed from the average of the variable due to a failure to validate the data points for these questions in Burkina Faso, Congo Republic, Egypt, Gambia, Kenya, Morocco, Sierra Leone, Sudan and Zimbabwe. </t>
  </si>
  <si>
    <t>EqTreatLaw</t>
  </si>
  <si>
    <t>Equality before the Law</t>
  </si>
  <si>
    <t>FH/WJP</t>
  </si>
  <si>
    <t xml:space="preserve">This indicator assesses the extent to which there is equality before the law and civil and criminal justice systems are impartial and free of discrimination. </t>
  </si>
  <si>
    <t>EquBefLawFH</t>
  </si>
  <si>
    <t>Equal Treatment before the Law</t>
  </si>
  <si>
    <t>FH</t>
  </si>
  <si>
    <t>Freedom House</t>
  </si>
  <si>
    <t>Freedom in the World</t>
  </si>
  <si>
    <t xml:space="preserve">This sub-indicator assesses the extent to which laws, policies and practices guarantee equal treatments to various distinct groups, including ethnic, racial, religious, gender, LGBT+ and other relevant groups and the extent to which these groups are able to exercise their human rights with full equality before the law. </t>
  </si>
  <si>
    <t>Do laws, policies, and practices guarantee equal treatment of various segments of the population?</t>
  </si>
  <si>
    <t>https://freedomhouse.org/reports/freedom-world/freedom-world-research-methodology</t>
  </si>
  <si>
    <t>AbsDiscJust</t>
  </si>
  <si>
    <t>Absence of Discrimination in Justice</t>
  </si>
  <si>
    <t>This sub-indicator assesses the extent to which civil and criminal justice are impartial and free of discrimination.</t>
  </si>
  <si>
    <t>AbsDiscCivJustWJP</t>
  </si>
  <si>
    <t>Absence of Discrimination in Civil Justice</t>
  </si>
  <si>
    <t>This sub-sub-indicator assesses the extent to which civil justice is free of discrimination. It considers discrimination with respect to income, gender, ethnic group, religious beliefs, country of origin and sexual orientation.</t>
  </si>
  <si>
    <t>Civil justice is free of discrimination</t>
  </si>
  <si>
    <t xml:space="preserve">Before 2015 scores across iterations of the Rule of Law Index are not strictly comparable. Therefore, the IIAG does not include any variables from iterations prior to the 2015 Rule of Law Index. . </t>
  </si>
  <si>
    <t>AbsDiscCrimJustWJP</t>
  </si>
  <si>
    <t>Absence of Discrimination in Criminal Justice</t>
  </si>
  <si>
    <t xml:space="preserve">This sub-sub-indicator assesses the extent to which the criminal system is impartial. This is based on the following criteria: the extent to which the police are impartial and do not discriminate; there is no discrimination in the criminal process with respect to income, gender, ethnic group, religious beliefs, country of origin and sexual orientation; judges are not biased against marginalised people (discrimination based on social or economic status).  </t>
  </si>
  <si>
    <t>Criminal system is impartial</t>
  </si>
  <si>
    <t>Congo Republic, Sudan</t>
  </si>
  <si>
    <t>LawEnf</t>
  </si>
  <si>
    <t>Law Enforcement</t>
  </si>
  <si>
    <t>AFIDEP/WEF/WJP</t>
  </si>
  <si>
    <t xml:space="preserve">This indicator assesses the extent to which the police are reliable and subject to effective misconduct investigations and sanctioning as well as to which extent the criminal investigation and prosecutorial system is functional. </t>
  </si>
  <si>
    <t>RelPol</t>
  </si>
  <si>
    <t>Police Services</t>
  </si>
  <si>
    <t>This sub-indicator assesses the extent to which the police are reliable and there is a functioning system for investigating and sanctioning police misconduct.</t>
  </si>
  <si>
    <t>RelPolServWEF</t>
  </si>
  <si>
    <t>Reliability of Police Services</t>
  </si>
  <si>
    <t>WEF</t>
  </si>
  <si>
    <t>World Economic Forum</t>
  </si>
  <si>
    <t>Executive Opinion Survey</t>
  </si>
  <si>
    <t>This sub-sub-indicator measures the extent to which police services can be relied upon to enforce law and order.</t>
  </si>
  <si>
    <t>Reliability of police services</t>
  </si>
  <si>
    <t>1-7</t>
  </si>
  <si>
    <t>http://www3.weforum.org/docs/WEF_GCR_2019_Appendix_B.pdf</t>
  </si>
  <si>
    <t>Central African Republic, Comoros, Congo Republic, Djibouti, Equatorial Guinea, Eritrea, Guinea-Bissau, Niger, São Tomé and Príncipe, Somalia, South Sudan, Sudan, Togo</t>
  </si>
  <si>
    <t>Libya</t>
  </si>
  <si>
    <t>This variable is part of WEF’s Executive Opinion Survey. Underlying data was shared directly by source with MIF on 12.05.2022 and is made available via the 2022 IIAG Excel and online data portals.</t>
  </si>
  <si>
    <t>PolMisInvGI</t>
  </si>
  <si>
    <t>Police Misconduct Investigation</t>
  </si>
  <si>
    <t>This sub-sub-indicator assesses the extent to which there is a functioning system in place to receive citizens' allegations of police misconduct or abuse of force, that investigates most of the allegations within one week of being reported, and exercises its own initiative to start investigations when/if needed.</t>
  </si>
  <si>
    <t>In practice, the mechanism for citizens to report police misconduct or abuse of force is effective</t>
  </si>
  <si>
    <t>SactPolMisWJP</t>
  </si>
  <si>
    <t>Sanctioning of Police for Misconduct</t>
  </si>
  <si>
    <t>This sub-sub-indicator assesses the extent to which the police abusing their power are sanctioned for misconduct and police officers who commit crimes are prosecuted and punished.</t>
  </si>
  <si>
    <t>The Police</t>
  </si>
  <si>
    <t xml:space="preserve">Before 2015 scores across iterations of the Rule of Law Index are not strictly comparable. Therefore, the IIAG does not include any variables from iterations prior to the 2015 Rule of Law Index. 
WJP does not publish raw data for sub-sub-factors of their framework. For the purpose of the IIAG, data on this variable was thus shared by WJP with MIF. Raw data for this variable is available via the IIAG Excel and online data portal. 
</t>
  </si>
  <si>
    <t xml:space="preserve">For the 2015 edition of the Rule of Law Index, the average for this variable was calculated with questions that have less than five QRQ experts in Burkina Faso, Madagascar and Tanzania. For the 2016 edition of the Rule of Law Index, the average for this variable was calculated with questions that have less than five QRQ experts in Cameroon, Ghana and Zambia. For the 2019 edition of the Rule of Law Index, the average for this variable was calculated with questions that have less than five QRQ experts in Egypt, Mauritania, Mozambique and Niger. For the 2021 edition of the Rule of Law Index, the average for this variable was calculated with questions that have less than five QRQ experts in Sudan.
For the 2015 edition of the Rule of Law Index, one or more questions were removed from the average of the variable due to a failure to validate the data points for these questions in Senegal and Zambia. For the 2016 edition of the Rule of Law Index, one or more questions were removed from the average of the variable due to a failure to validate the data points for these questions in Tunisia. For the 2019 edition of the Rule of Law Index, one or more questions were removed from the average of the variable due to a failure to validate the data points for these questions in Rwanda. For the 2020 edition of the Rule of Law Index, one or more questions were removed from the average of the variable due to a failure to validate the data points for these questions in Niger and Rwanda. For the 2021 edition of the Rule of Law Index, one or more questions were removed from the average of the variable due to a failure to validate the data points for these questions in Rwanda. </t>
  </si>
  <si>
    <t>FunctCrimJusSysWJP</t>
  </si>
  <si>
    <t>Functioning Criminal Justice System</t>
  </si>
  <si>
    <t xml:space="preserve">This sub-indicator assesses the extent to which the criminal investigation system and the prosecutorial system are functioning. This is based on the following criteria: the extent to which there are effective intelligence systems to support criminal investigators; proactive investigation methods, such as undercover operations; mechanisms to gather information and analyse evidence; proper storage and chain of custody procedures for material evidence; systems to protect witnesses and whistle-blowers and exchange information between criminal investigative service agencies; a sufficient number of criminal investigators; competence of criminal investigators; adequate resources; independence of forensic evidence; adequate training/education of prosecutors; prosecutors, investigators and judicial police that do not engage in corrupt practices and that understand the law; a sufficient number of prosecutors to handle caseloads; conduction of eyewitness identification of defendants in a manner that does not improperly disadvantage the accused. </t>
  </si>
  <si>
    <t>2017, 2018, 2019, 2021, 2022, 2023</t>
  </si>
  <si>
    <t>Problems (Criminal Justice)</t>
  </si>
  <si>
    <t xml:space="preserve">Before 2015 scores across iterations of the Rule of Law Index are not strictly comparable. Therefore, the IIAG does not include any variables from iterations prior to the 2015 Rule of Law Index. Between different iterations, there have also been changes in the construction of indicators, compromising strict comparability. In the case of this variable, data is included as of the 2017/18 edition of the Rule of Law Index.  
WJP does not publish raw data for sub-sub-factors of their framework. For the purpose of the IIAG, data on this variable was thus shared by WJP with MIF. Raw data for this variable is available via the IIAG Excel and online data portal. </t>
  </si>
  <si>
    <t xml:space="preserve">For the 2019 edition of the Rule of Law Index, the average for this variable was calculated with questions that have less than five QRQ experts in Egypt, Mauritania, Mozambique and Niger. For the 2021 edition of the Rule of Law Index, the average for this variable was calculated with questions that have less than five QRQ experts in Sudan. </t>
  </si>
  <si>
    <t>PropRights</t>
  </si>
  <si>
    <t>Property Rights</t>
  </si>
  <si>
    <t>BS/V-DEM/WJP</t>
  </si>
  <si>
    <t xml:space="preserve">This indicator assesses the extent to which private property rights are guaranteed and enjoyed by citizens. </t>
  </si>
  <si>
    <t>ProprightsRegBS</t>
  </si>
  <si>
    <t>Property Rights &amp; Regulations</t>
  </si>
  <si>
    <t>BS</t>
  </si>
  <si>
    <t>Bertelsmann Stiftung</t>
  </si>
  <si>
    <t>Bertelsmann Transformation Index</t>
  </si>
  <si>
    <t>This sub-indicator assesses the extent to which government authorities ensure well-defined rights of private property and regulate the acquisition, benefits, use and sale of property.</t>
  </si>
  <si>
    <t>2015, 2017, 2019, 2021, 2023</t>
  </si>
  <si>
    <t>Property rights</t>
  </si>
  <si>
    <t>https://www.bti-project.org/en/methodology.html</t>
  </si>
  <si>
    <t>Cabo Verde, Comoros, São Tomé and Príncipe, Seychelles</t>
  </si>
  <si>
    <t xml:space="preserve">The Bertelsmann Transformation Index (BTI) is produced biennially (latest iteration available in the 2024 IIAG is the BTI 2024). </t>
  </si>
  <si>
    <t xml:space="preserve">Data from source is provided with a year lag. 2024 scores from source are for the 2023 IIAG data year, etc. </t>
  </si>
  <si>
    <t>PrivPropRightsWJP</t>
  </si>
  <si>
    <t>Private Property Rights</t>
  </si>
  <si>
    <t xml:space="preserve">This sub-indicator assesses the extent to which property rights for the people are guaranteed. This is based on the following criteria:  the likelihood that homeowners will receive full compensation from government at fair market value; the likelihood that if homeowners sue the government seeking compensation for the demolition of their homes they will receive fair compensation; the extent to which farmers receive adequate compensation for expropriated rural land; the extent to which in the event of unfair compensation homeowners would resign themselves to losing the money.  </t>
  </si>
  <si>
    <t>Property rights for the people</t>
  </si>
  <si>
    <t>For the 2019 edition of the Rule of Law Index, the average for this variable was calculated with questions that have less than five QRQ experts in Niger and Rwanda. 
For the 2016 edition of the Rule of Law Index, one or more questions were removed from the average of the variable due to a failure to validate the data points for these questions in Malawi, Morocco and Senegal. For the 2017/18 edition of the Rule of Law Index, one or more questions were removed from the average of the variable due to a failure to validate the data points for these questions in Liberia, Malawi, Morocco and Senegal. For the 2019 edition of the Rule of Law Index, one or more questions were removed from the average of the variable due to a failure to validate the data points for these questions in Algeria, Angola, Benin, DR Congo, Guinea, Liberia, Malawi, Mali, Mauritania, Mauritius, Morocco, Mozambique, Namibia, Niger, Rwanda, Senegal and Togo. For the 2020 edition of the Rule of Law Index, one or more questions were removed from the average of the variable due to a failure to validate the data points for these questions in Algeria, Angola, Benin, DR Congo, Gambia, Guinea, Liberia, Malawi, Mali, Mauritania, Mauritius, Morocco, Mozambique, Namibia, Niger, Rwanda, Senegal and Togo. For the 2021 edition of the Rule of Law Index, one or more questions were removed from the average of the variable due to a failure to validate the data points for these questions in Algeria, Angola, Benin, Congo Republic, DR Congo, Gambia, Guinea, Liberia, Malawi, Mali, Mauritania, Mauritius, Morocco, Mozambique, Namibia, Niger, Rwanda, Sudan and Togo.</t>
  </si>
  <si>
    <t>RightsPrivPropVDEM</t>
  </si>
  <si>
    <t>Right to Private Property</t>
  </si>
  <si>
    <t>This sub-indicator assesses the extent to which citizens enjoy the right to private property. Private property includes the right to acquire, possess, inherit and sell private property, including land. Limits on property rights may come from the state (which may legally limit rights or fail to enforce them), customary laws and practices or religious or social norms. This question concerns the right to private property, not actual ownership of property.</t>
  </si>
  <si>
    <t>v2xcl_prpty (Property Rights)</t>
  </si>
  <si>
    <t>PubPercROL</t>
  </si>
  <si>
    <t>Public Perception of the Rule of Law</t>
  </si>
  <si>
    <t>This indicator assesses the extent to which citizens feel that the head of the executive does not ignore the courts and laws, as well as the extent to which citizens feel that they are treated equally under the law.</t>
  </si>
  <si>
    <t>PercResLawExecAFR</t>
  </si>
  <si>
    <t>Perceived Respect for the Law by the Executive</t>
  </si>
  <si>
    <t>This sub-indicator assesses the extent to which citizens feel the head of the executive does not ignore the courts and laws.</t>
  </si>
  <si>
    <t>How often president ignores laws</t>
  </si>
  <si>
    <t>PercEqTreatLawAFR</t>
  </si>
  <si>
    <t>Perceived Equal Treatment before the Law</t>
  </si>
  <si>
    <t>This sub-indicator assesses the extent to which citizens feel they are treated equally under the law.</t>
  </si>
  <si>
    <t xml:space="preserve">How often people treated unequally </t>
  </si>
  <si>
    <t>ACCTRANS</t>
  </si>
  <si>
    <t>ACCOUNTABILITY &amp; TRANSPARENCY</t>
  </si>
  <si>
    <t>This sub-category assesses institutional and civic check and balances, absence of undue influence on government, disclosure and accessibility of public records, as well as the public perception of accountability.</t>
  </si>
  <si>
    <t>InstChecBal</t>
  </si>
  <si>
    <t>Institutional Checks &amp; Balances</t>
  </si>
  <si>
    <t xml:space="preserve">This indicator assesses the extent to which there is a separation of powers and government powers are checked upon and limited by both the legislature and the judiciary as well as the extent to which public office holders are being sanctioned for abuse of office. </t>
  </si>
  <si>
    <t>SepPowBS</t>
  </si>
  <si>
    <t>Separation of Powers</t>
  </si>
  <si>
    <t xml:space="preserve">This sub-indicator assesses the extent to which there is a working separation of powers (checks and balances). It assesses the extent to which there is a clear separation of powers with mutual checks and balances and the basic configuration and operation of the separation of powers. It includes the subjection of state power to the law. </t>
  </si>
  <si>
    <t>Separation of powers</t>
  </si>
  <si>
    <t>LegCheckExecVDEM</t>
  </si>
  <si>
    <t>Legislature Checks on the Executive</t>
  </si>
  <si>
    <t>This sub-indicator assesses the extent to which the legislature and government agencies (e.g. comptroller general, general prosecutor, or ombudsman) are capable of questioning, investigating, and exercising oversight over the executive.</t>
  </si>
  <si>
    <t>v2xlg_legcon (Legislative constraints on the executive index)</t>
  </si>
  <si>
    <t>JudCheckExecWJP</t>
  </si>
  <si>
    <t>Judicial Checks on the Executive</t>
  </si>
  <si>
    <t xml:space="preserve">This sub-indicator assesses the extent to which government powers are effectively limited by the judiciary. It is based on the following criteria: the extent to which in practice, the government's power is not concentrated in one person, but is distributed among different independent branches; the government always obeys the decisions of the high courts; when legal questions or possible violations are raised, the judiciary reviews executive actions and uses its powers to declare government actions illegal or unconstitutional; national, local and electoral appeals courts are free of political influence in their application of power; government exercises undue influence to affect the outcome of the case.  </t>
  </si>
  <si>
    <t>Government powers are effectively limited by the judiciary</t>
  </si>
  <si>
    <t>Before 2015 scores across iterations of the Rule of Law Index are not strictly comparable. Therefore, the IIAG does not include any variables from iterations prior to the 2015 Rule of Law Index.</t>
  </si>
  <si>
    <t>SancMisAbOffBS</t>
  </si>
  <si>
    <t>Sanctions for Misconduct or Abuse of Office</t>
  </si>
  <si>
    <t>This sub-indicator assesses the extent to which public office holders who abuse their positions are prosecuted or penalised. It assesses the extent to which public servants and politicians are held accountable by legal prosecution and public contempt when they break the law and engage in corrupt practices. It also includes conflicts of interest and ethical misconduct, focusing on the extent to which the rule of law is undermined by political corruption.</t>
  </si>
  <si>
    <t>Prosecution of office abuse</t>
  </si>
  <si>
    <t>AbsUnInfGov</t>
  </si>
  <si>
    <t>Absence of Undue Influence</t>
  </si>
  <si>
    <t>AFIDEP/BS/FH</t>
  </si>
  <si>
    <t>This indicator assesses the extent to which the elected government has the effective power to govern and the government and the legislature determine the policies without undue influence from veto powers, as well as the extent to which civil servants' work is not compromised by political interference.</t>
  </si>
  <si>
    <t>EffPowGovBS</t>
  </si>
  <si>
    <t>Effective Power to Govern</t>
  </si>
  <si>
    <t xml:space="preserve">This sub-indicator assesses the extent to which democratically elected political representatives have the effective power to govern, or the extent to which there are veto powers and political enclaves. It assesses the extent to which individuals or groups have the power to undermine democratic procedures without questioning the system as such. Veto powers can come from the military, the clergy, landowners, business elites, and external actors, among others. They can 'veto' the results of democratic decisions or retain prerogatives that cannot be touched by democratically elected officeholders (e.g., nominating the commander-in-chief of the armed forces). </t>
  </si>
  <si>
    <t>Effective power to govern</t>
  </si>
  <si>
    <t>DetPolGovLegFH</t>
  </si>
  <si>
    <t>Determination of Policies by Elected Representatives</t>
  </si>
  <si>
    <t xml:space="preserve">This sub-indicator assesses the extent to which the freely elected head of government and national legislative representatives determine the policies of the government. </t>
  </si>
  <si>
    <t xml:space="preserve">Do the freely elected head of government and national legislative representatives determine the policies of the government? </t>
  </si>
  <si>
    <t>PolInterfCivServAFIDEP</t>
  </si>
  <si>
    <t>Absence of Political Interference in the Civil Service</t>
  </si>
  <si>
    <t>This sub-sub-indicator assesses the extent to which civil servants' work is not compromised by political interference</t>
  </si>
  <si>
    <t>In practice, civil servants' work is not compromised by political interference</t>
  </si>
  <si>
    <t>CivCheckBal</t>
  </si>
  <si>
    <t>Civic Checks &amp; Balances</t>
  </si>
  <si>
    <t xml:space="preserve">This indicator assesses the extent to which effective citizen complaint mechanisms exist and citizens have the right to petition and civic engagement as well as the extent to which cooperative associations, interest groups and civil society organisations (CSOs) are being consulted in policy making. </t>
  </si>
  <si>
    <t>CompMechPet</t>
  </si>
  <si>
    <t>Complaint Mechanisms &amp; Petitions</t>
  </si>
  <si>
    <t>This sub-indicator assesses the extent to which there are effective mechanisms for citizens to make complaints and there is a right to petition and civic engagement.</t>
  </si>
  <si>
    <t>CitCompMechWJP</t>
  </si>
  <si>
    <t xml:space="preserve">Citizen Complaint Mechanisms </t>
  </si>
  <si>
    <t xml:space="preserve">This sub-sub-indicator assesses the extent to which there are effective mechanisms to make complaints about public services and local government officials. It also assesses the extent to which residents have the opportunity to present objections or comments to the relevant government authorities prior to the start of a construction project, and the extent to which in law and in practice citizens can effectively challenge denials of information requests before another government agency or a judge. </t>
  </si>
  <si>
    <t>Complaint mechanisms</t>
  </si>
  <si>
    <t>PetCivEngWJP</t>
  </si>
  <si>
    <t xml:space="preserve">Petitions &amp; Civic Engagement </t>
  </si>
  <si>
    <t xml:space="preserve">This sub-sub-indicator assesses the extent to which there is a right to petition and civic engagement. This is based on the following criteria: the extent to which in practice, people in a neighbourhood can get together with others and present their concerns to members of congress or local government officials; people can freely join together with others to draw attention to an issue or sign a petition; local residents receive sufficient advanced notice of impending construction projects and the likelihood that plans would be suspended should residents file an urgent petition proposing an alternative construction plan; the government collaborates with civil society organisations in designing public policy. </t>
  </si>
  <si>
    <t>Right to petition and civic engagement</t>
  </si>
  <si>
    <t>For the 2019 edition of the Rule of Law Index, the average for this variable was calculated with questions that have less than five QRQ experts in Niger and Rwanda. 
For the 2016 edition of the Rule of Law Index, one or more questions were removed from the average of the variable due to a failure to validate the data points for these questions in Egypt. For the 2017/18 edition of the Rule of Law Index, one or more questions were removed from the average of the variable due to a failure to validate the data points for these questions in Egypt. For the 2019 edition of the Rule of Law Index, one or more questions were removed from the average of the variable due to a failure to validate the data points for these questions in Egypt. For the 2020 edition of the Rule of Law Index, one or more questions were removed from the average of the variable due to a failure to validate the data points for these questions in Egypt. For the 2021 edition of the Rule of Law Index, one or more questions were removed from the average of the variable due to a failure to validate the data points for these questions in Egypt.</t>
  </si>
  <si>
    <t>ConsDelib</t>
  </si>
  <si>
    <t>Consultation &amp; Deliberation</t>
  </si>
  <si>
    <t>BS/V-DEM</t>
  </si>
  <si>
    <t xml:space="preserve">This sub-indicator assesses the extent to which there is a network of cooperative associations and interest groups to mediate between society and the political system and major civil society organisations (CSOs) are routinely consulted by policy makers. </t>
  </si>
  <si>
    <t>CoopAssIntGrBS</t>
  </si>
  <si>
    <t>Cooperative Associations &amp; Interest Groups</t>
  </si>
  <si>
    <t xml:space="preserve">This sub-sub-indicator assesses the extent to which there is a network of cooperative associations or interest groups to mediate between society and the political system. It assesses the spectrum of interest groups, ranging from social movements and community organisations to unions and professional associations, the capacity to incorporate all (competing) social interests and to avoid the dominance of few strong interests and the degree of cooperation between different interest groups. </t>
  </si>
  <si>
    <t>Interest groups</t>
  </si>
  <si>
    <t>CsoConsVDEM</t>
  </si>
  <si>
    <t xml:space="preserve">Civil Society Consultation </t>
  </si>
  <si>
    <t>This sub-sub-indicator assesses the extent to which major civil society organisations (CSOs) are routinely consulted by policymakers on policies relevant to their members.</t>
  </si>
  <si>
    <t>v2cscnsult_osp (CSO consultation)</t>
  </si>
  <si>
    <t>0-2</t>
  </si>
  <si>
    <t>DiscPubRec</t>
  </si>
  <si>
    <t>Disclosure of Public Records</t>
  </si>
  <si>
    <t>AFIDEP/IBP/WJP</t>
  </si>
  <si>
    <t>This indicator assesses the extent to which budget information is made publicly available in a timely manner, public officials and civil servants disclose their assets, and laws and judicial information are publicised.</t>
  </si>
  <si>
    <t>BudgTransIBP</t>
  </si>
  <si>
    <t xml:space="preserve">Budget Transparency </t>
  </si>
  <si>
    <t>IBP</t>
  </si>
  <si>
    <t>International Budget Partnership</t>
  </si>
  <si>
    <t>Open Budget Index</t>
  </si>
  <si>
    <t>This sub-indicator assesses the amount and timeliness of budget information that governments make publicly available in eight key budget documents in accordance with international good practice standards.</t>
  </si>
  <si>
    <t>2014, 2016, 2018, 2020, 2022</t>
  </si>
  <si>
    <t>https://internationalbudget.org/wp-content/uploads/2021-01-14-2021-OBS-Guide-and-Questionnaire_Final-ENGLISH.pdf</t>
  </si>
  <si>
    <t>Cabo Verde, Congo Republic, Djibouti, Eritrea, Gabon, Libya, Mauritania, Mauritius, Seychelles</t>
  </si>
  <si>
    <t>Central African Republic, Guinea, Guinea-Bissau</t>
  </si>
  <si>
    <t>There is a year lag. Open Budget Survey 2023 data is assigned to the 2022 IIAG data year, etc.</t>
  </si>
  <si>
    <t>AssDisPolPubOff</t>
  </si>
  <si>
    <t>Asset Disclosure of Politicians &amp; Public Officials</t>
  </si>
  <si>
    <t xml:space="preserve">This sub-indicator assesses the extent to which senior officials in the three branches of government and members of the civil service file their asset disclosures. </t>
  </si>
  <si>
    <t>AssDisGovGI</t>
  </si>
  <si>
    <t xml:space="preserve">Asset Disclosure in Government </t>
  </si>
  <si>
    <t>This sub-sub-indicator assesses the extent to which senior officials of the three branches of government file their asset disclosures, including detailed information about assets belonging to them and their immediate family (including real estate, movable property, cash, salaries, and income from investments), and whether they are made available to the public online or within two weeks of requested at the cost of photocopy.</t>
  </si>
  <si>
    <t>In practice, the asset disclosure process for senior officials of the three branches of government (heads of state and government, ministers, members of Parliament, judges, etc.) is effective</t>
  </si>
  <si>
    <t>AssDisCivServGI</t>
  </si>
  <si>
    <t xml:space="preserve">Asset Disclosure in Civil Service </t>
  </si>
  <si>
    <t>This sub-sub-indicator assesses the extent to which all members of the civil service file their asset disclosures, including detailed information about assets belonging to them and their immediate family (including real estate, movable property, cash, salaries, and income from investments), and whether they are available to the public online or within two weeks of requested at the cost of photocopy.</t>
  </si>
  <si>
    <t>In practice, the asset disclosure process for members of  the civil service is effective</t>
  </si>
  <si>
    <t>PubLawJudInf</t>
  </si>
  <si>
    <t>Publicity of Laws &amp; Judicial Information</t>
  </si>
  <si>
    <t>AFIDEP/WJP</t>
  </si>
  <si>
    <t>This sub-indicator assesses the extent to which laws are publicised and public information is available in plain language, as well as the extent to which judicial reasoning is being made public.</t>
  </si>
  <si>
    <t>PubLawPolWJP</t>
  </si>
  <si>
    <t>Publicised Laws</t>
  </si>
  <si>
    <t>This sub-sub-indicator assesses the extent to which laws are publicised and public information is available in plain language. This is based on the following criteria: the extent to which in practice, the local government provides easy-to-understand information on people's legal rights (criminal suspects' rights, workers' basic rights, public health issues); in practice, basic laws are publicly available in all official languages, with government striving to make laws accessible to languages spoken by significant segments of the population that are not "official"; in practice, national regulations are published on a timely basis; in practice, administrative, labour and public health regulations can be obtained at little cost, such as by mail, or online; in practice, judicial decisions of the highest court are published on a timely basis; in practice, drafts of legislation (bills) to be discussed in the legislative body are made available to the public on a timely basis; in practice, legislative proceedings (e.g. bills submitted or presented before the legislature for consideration or approval) are broadcast to the public by radio or TV.</t>
  </si>
  <si>
    <t>Information in plain language, publicized laws </t>
  </si>
  <si>
    <t xml:space="preserve">Before 2015 scores across iterations of the Rule of Law Index are not strictly comparable. Therefore, the IIAG does not include any variables from iterations prior to the 2015 Rule of Law Index. Between different iterations, there have also been changes in the construction of indicators, compromising strict comparability. In the case of this variable, data is included as of the 2016 edition of the Rule of Law Index.  
WJP does not publish raw data for sub-sub-factors of their framework. For the purpose of the IIAG, data on this variable was thus shared by WJP with MIF. Raw data for this variable is available via the IIAG Excel and online data portal. </t>
  </si>
  <si>
    <t>For the 2019 edition of the Rule of Law Index, the average for this variable was calculated with questions that have less than five QRQ experts in Niger and Rwanda. 
For the 2017/18 edition of the Rule of Law Index, one or more questions were removed from the average of the variable due to a failure to validate the data points for these questions in Egypt. For the 2019 edition of the Rule of Law Index, one or more questions were removed from the average of the variable due to a failure to validate the data points for these questions in Egypt. For the 2020 edition of the Rule of Law Index, one or more questions were removed from the average of the variable due to a failure to validate the data points for these questions in Egypt. For the 2021 edition of the Rule of Law Index, one or more questions were removed from the average of the variable due to a failure to validate the data points for these questions in Egypt.</t>
  </si>
  <si>
    <t>TransPubJudDecGI</t>
  </si>
  <si>
    <t>Transparency of Judicial Reasoning</t>
  </si>
  <si>
    <t xml:space="preserve">This sub-sub-indicator assesses the extent to which judges routinely provide formal reasoning for their rulings, their reasoning references the laws/jurisprudence they considered and the specific interpretation they gave in relation to the case, and their reasoning is public.  </t>
  </si>
  <si>
    <t>In practice, national-level judges give reasons for their decisions/judgments</t>
  </si>
  <si>
    <t>AccPubRec</t>
  </si>
  <si>
    <t>Accessibility of Public Records</t>
  </si>
  <si>
    <t>AFIDEP/UNDESA/WJP</t>
  </si>
  <si>
    <t>This indicator assesses the extent to which different sorts of information of interest to the public, political party financing information and financial records associated with natural resources exploitation are accessible, the extent to which citizens have the right to request reliable and high-quality information, as well as the scope and quality of the online services provided by the government.</t>
  </si>
  <si>
    <t>AccInf</t>
  </si>
  <si>
    <t>Access to Public Information</t>
  </si>
  <si>
    <t>This sub-indicator assesses the extent to which publicly available records, legislative information and records of state-owned companies are accessible.</t>
  </si>
  <si>
    <t>AccPubAvailInfGI</t>
  </si>
  <si>
    <t>Access to Publicly Available Information</t>
  </si>
  <si>
    <t>This sub-sub-indicator assesses the extent to which records are available online or on paper less than two weeks after requested, and costs are limited to photocopying, with some exceptions for information protected by national security or individual privacy laws.</t>
  </si>
  <si>
    <t xml:space="preserve">In practice, citizen requests for public information are effective </t>
  </si>
  <si>
    <t>AccLegInfGI</t>
  </si>
  <si>
    <t xml:space="preserve">Access to Legislative Information </t>
  </si>
  <si>
    <t>This sub-sub-indicator assesses the extent to which legislative records (at least transcripts of debates/votes, roll call vote, and full text of bills) are accessible to the public online or at the cost of photocopying, most records are available within a day of legislative proceedings, and there is a complete, easily available legislative archive either on or offline.</t>
  </si>
  <si>
    <t xml:space="preserve">In practice, citizens can access legislative processes and documents </t>
  </si>
  <si>
    <t>AccRecStateCompGI</t>
  </si>
  <si>
    <t>Access to Records of State-Owned Companies</t>
  </si>
  <si>
    <t>This sub-sub-indicator assesses the extent to which financial records of state-owned companies are available on/offline to journalists, auditors and citizens at least quarterly, and the records can be obtained immediately for free online or on paper in less than two weeks of requested at cost of photocopying.</t>
  </si>
  <si>
    <t>In practice, citizens can access the financial records of state-owned companies</t>
  </si>
  <si>
    <t>GovProvOnlineServUNDESA</t>
  </si>
  <si>
    <t>Government Provision of Online Services</t>
  </si>
  <si>
    <t>UNDESA</t>
  </si>
  <si>
    <t>United Nations Department of Economic and Social Affairs</t>
  </si>
  <si>
    <t>E-Government Development Index</t>
  </si>
  <si>
    <t>This sub-indicator measures the scope and quality of online services.</t>
  </si>
  <si>
    <t>Online Service Index</t>
  </si>
  <si>
    <t>https://publicadministration.un.org/egovkb/en-us/About/Overview/-E-Government-Development-Index</t>
  </si>
  <si>
    <t>Guinea</t>
  </si>
  <si>
    <t>The EGDI is based on a comprehensive Survey of the online presence of all 193 United Nations Member States, which assesses national websites and how e-government policies and strategies are applied in general and in specific sectors for delivery of essential services. The assessment rates the e-government performance of countries relative to one another as opposed to being an absolute measurement. The results are tabulated and combined with a set of indicators embodying a country's capacity to participate in the information society, without which e-government development efforts are of limited immediate use.</t>
  </si>
  <si>
    <t>QualRelInfReqWJP</t>
  </si>
  <si>
    <t xml:space="preserve">Quality &amp; Reliability of Information Requests </t>
  </si>
  <si>
    <t>This sub-indicator assesses the extent to which people have the right to information. This takes into account responsiveness, quality, timeliness, affordability and trust, as well as the general accessibility of information.</t>
  </si>
  <si>
    <t>Right to Information</t>
  </si>
  <si>
    <t>AccPartyFinInf</t>
  </si>
  <si>
    <t>Access to Party Financing Information</t>
  </si>
  <si>
    <t xml:space="preserve">This sub-indicator assesses the extent to which political parties disclose public and private donations timely and accessibly. </t>
  </si>
  <si>
    <t>AccPubDonInfGI</t>
  </si>
  <si>
    <t>Access to Public Party Financing Information</t>
  </si>
  <si>
    <t>This sub-sub-indicator assesses the extent to which political parties disclose public donations within one month of being received, and the extent to which they are easily available online or at the cost of photocopy.</t>
  </si>
  <si>
    <t>In practice, political parties regularly disclose public donations (funds that are sourced from the government) and the disclosures are easily available to the public</t>
  </si>
  <si>
    <t>AccPrivDonInfGI</t>
  </si>
  <si>
    <t>Access to Private Party Financing Information</t>
  </si>
  <si>
    <t>This sub-sub-indicator assesses the extent to which political parties disclose private donations within one month of being received, and the extent to which they are easily available online or at the cost of photocopy.</t>
  </si>
  <si>
    <t>In practice, political parties regularly disclose private donations and the disclosures are easily available to the public</t>
  </si>
  <si>
    <t>AccFinRecNatResExplAFIDEP</t>
  </si>
  <si>
    <t>Access to Financial Records of Natural Resources Exploitation</t>
  </si>
  <si>
    <t>This sub-sub-indicator assesses the extent to which citizens can access the financial records associated with natural resources exploitation (gas, oil and mining), whether they involve the participation of public or private corporations</t>
  </si>
  <si>
    <t>In practice, citizens can access the financial records associated with natural resources exploitation (gas, oil and mining), whether they involve the participation of public or private corporations</t>
  </si>
  <si>
    <t>PubPercAcc</t>
  </si>
  <si>
    <t>Public Perception of Accountability</t>
  </si>
  <si>
    <t>This indicator assesses the extent to which citizens feel that the head of the executive does not ignore parliament, as well as the extent to which citizens feel that officials who commit crimes are punished.</t>
  </si>
  <si>
    <t>PercResLegExecAFR</t>
  </si>
  <si>
    <t>Perceived Respect for the Legislature by the Executive</t>
  </si>
  <si>
    <t>This sub-indicator assesses the extent to which citizens feel the head of the executive does not ignore parliament and does not just do what they want.</t>
  </si>
  <si>
    <t>How often president ignores parliament</t>
  </si>
  <si>
    <t>Central African Republic, Chad, Comoros, DR Congo, Djibouti, Egypt, Equatorial Guinea, Eritrea, Guinea-Bissau, Libya, Rwanda, Somalia, South Sudan</t>
  </si>
  <si>
    <t>Algeria, Burundi, Congo Republic, Mauritania, Seychelles</t>
  </si>
  <si>
    <t>PercAccOffAFR</t>
  </si>
  <si>
    <t>Perceived Accountability of Public Officials</t>
  </si>
  <si>
    <t>This sub-indicator assesses the extent to which citizens feel officials who commit crimes are punished.</t>
  </si>
  <si>
    <t xml:space="preserve">How often officials unpunished </t>
  </si>
  <si>
    <t>ANTICORR</t>
  </si>
  <si>
    <t>ANTI-CORRUPTION</t>
  </si>
  <si>
    <t>This sub-category assesses anti-corruption mechanisms, the absence of corruption in the judiciary, the legislature and the executive, the absence of corruption in the public sector including bribery in the police and the military, public procurement procedures, the absence of corruption in the private sector, as well as the public perception of anti-corruption.</t>
  </si>
  <si>
    <t>AntiCorrMech</t>
  </si>
  <si>
    <t>Anti-Corruption Mechanisms</t>
  </si>
  <si>
    <t>AFIDEP/BS</t>
  </si>
  <si>
    <t>This indicator assesses the extent to which there is an anti-corruption policy in place contributing to the containment of corruption, there is a functioning and independent anti-corruption body and corruption allegations are being investigated.</t>
  </si>
  <si>
    <t>AntiCorrPolBS</t>
  </si>
  <si>
    <t xml:space="preserve">Anti-Corruption Policy </t>
  </si>
  <si>
    <t>This sub-indicator assesses the extent to which the government successfully contains corruption. It assesses the extent to which adequate institutional arrangements exist to implement an anti-corruption policy and if they successfully contribute to an effective prosecution of corruption. It also assesses the extent to which the government implements and monitors the following integrity mechanisms: auditing of state spending, regulation of party financing, citizen and media access to information, accountability of officeholders including asset declarations, conflict of interest rules, codes of conduct and transparent public procurement system.</t>
  </si>
  <si>
    <t>Anti-corruption policy</t>
  </si>
  <si>
    <t>AntiCorrBodGI</t>
  </si>
  <si>
    <t xml:space="preserve">Anti-Corruption Bodies </t>
  </si>
  <si>
    <t>This sub-indicator assesses the extent to which there is a body with a functioning system in place to receive citizens' allegations of public sector corruption, the extent to which it investigates most of the allegations within three months of being reported, and the extent to which it exercises its own initiative to start investigations when/if needed.</t>
  </si>
  <si>
    <t>In practice, the body/bodies that investigate/s allegations of public sector corruption is/are effective</t>
  </si>
  <si>
    <t>AntiCorrInvGI</t>
  </si>
  <si>
    <t xml:space="preserve">Anti-Corruption Investigation </t>
  </si>
  <si>
    <t xml:space="preserve">This sub-indicator assesses the extent to which allegations against senior level politicians and/or civil servants of any level are investigated, and the members of the body mandated to investigate the allegations work without fear or favour from other offices. </t>
  </si>
  <si>
    <t>In practice, allegations of corruption against senior level politicians and/or civil servants of any level are investigated by an independent body</t>
  </si>
  <si>
    <t>IndAppAntiCorrAFIDEP</t>
  </si>
  <si>
    <t>Independent Appointments to Anti-Corruption Bodies</t>
  </si>
  <si>
    <t>This sub-sub-indicator assesses the extent to which appointments to the body/bodies that investigate/s allegations of public sector corruption support/s the independence of the body</t>
  </si>
  <si>
    <t>In practice, appointments to the body/bodies that investigate/s allegations of public sector corruption support/s the independence of the body</t>
  </si>
  <si>
    <t>AbsCorrStateInst</t>
  </si>
  <si>
    <t>Absence of Corruption in State Institutions</t>
  </si>
  <si>
    <t xml:space="preserve">This indicator assesses the extent to which corruption is absent in the judiciary, the legislature and the executive. </t>
  </si>
  <si>
    <t>AbsJudCorr</t>
  </si>
  <si>
    <t>Absence of Judicial Corruption</t>
  </si>
  <si>
    <t>This sub-indicator assesses the extent to which the judicial system is free from bribes and officials in the judicial branch do not use their public office for private gain.</t>
  </si>
  <si>
    <t>AbsCorrJudVDEM</t>
  </si>
  <si>
    <t>Absence of Corruption in the Judiciary</t>
  </si>
  <si>
    <t xml:space="preserve">This sub-sub-indicator assesses the extent to which individuals or businesses make undocumented extra payments or bribes in order to speed up or delay judicial processes or to obtain a favourable judicial decision. </t>
  </si>
  <si>
    <t>v2jucorrdc_osp (Judicial corruption decision)</t>
  </si>
  <si>
    <t>AbsCorrJudWJP</t>
  </si>
  <si>
    <t xml:space="preserve">This sub-sub-indicator assesses the extent to which government officials in the judicial branch do not use public office for private gain. This is based on the following criteria: the extent to which judges, magistrates, court personnel, commercial arbitrators or labour inspectors are likely to take bribes to perform their duties or expedite the process; poor people do not use courts to settle disputes due to corruption of judges and judicial officers; criminal organisations, private parties, or the government, exercise improper influence over members of the courts, trials and court cases; prosecutors receive bribes to investigate a crime, prosecute a criminal, drop or reduce charges, grant a bail, destroy or tamper with evidence or expedite a court case;  judges decide cases according to what the law says.  </t>
  </si>
  <si>
    <t>Government officials in the judicial branch do not use public office for private gain</t>
  </si>
  <si>
    <t xml:space="preserve">Before 2015 scores across iterations of the Rule of Law Index are not strictly comparable. Therefore, the IIAG does not include any variables from iterations prior to the 2015 Rule of Law Index. Between different iterations, there have also been changes in the construction of indicators, compromising strict comparability. In the case of this variable, data is included as of the 2017/18 edition of the Rule of Law Index. </t>
  </si>
  <si>
    <t>AbsLegCorr</t>
  </si>
  <si>
    <t>Absence of Legislative Corruption</t>
  </si>
  <si>
    <t>This sub-indicator assesses the extent to which members of the legislature do not use their public office for financial or private gain.</t>
  </si>
  <si>
    <t>AbsCorrLegVDEM</t>
  </si>
  <si>
    <t xml:space="preserve">Absence of Corruption in the Legislature </t>
  </si>
  <si>
    <t>This sub-sub-indicator assesses the extent to which members of the legislature abuse their position for financial gain. This includes any of the following: (a) accepting bribes, (b) helping to obtain government contracts for ﬁrms that the legislator (or their family/friends/political supporters) own, (c) doing favours for ﬁrms in exchange for the opportunity of employment after leaving the legislature, (d) stealing money from the state or from campaign donations for personal use.</t>
  </si>
  <si>
    <t>v2lgcrrpt_osp (Legislature corrupt activities)</t>
  </si>
  <si>
    <t>Eritrea</t>
  </si>
  <si>
    <t>AbsCorrLegWJP</t>
  </si>
  <si>
    <t xml:space="preserve">This sub-sub-indicator assesses the extent to which government officials in the legislative branch do not use public office for private gain. This is based on the following criteria: the extent to which members of the legislature/parliament are likely to solicit or receive illegal payment or bribe in exchange for political favours or favourable vote on a bill; members of parliament or congress are involved in corrupt practices. </t>
  </si>
  <si>
    <t>Government officials in the legislative branch do not use public office for private gain</t>
  </si>
  <si>
    <t>AbsExecCorr</t>
  </si>
  <si>
    <t>Absence of Executive Corruption</t>
  </si>
  <si>
    <t xml:space="preserve">This sub-indicator assesses the extent to which members of the executive do not engage in bribery, embezzlement, or theft. </t>
  </si>
  <si>
    <t>AbsBribExecVDEM</t>
  </si>
  <si>
    <t xml:space="preserve">Absence of Bribery in the Executive </t>
  </si>
  <si>
    <t xml:space="preserve">This sub-sub-indicator assesses how routinely members of the executive (the head of state, the head of government, and cabinet ministers), or their agents, grant favours in exchange for bribes, kickbacks, or other material inducements. </t>
  </si>
  <si>
    <t>v2exbribe_osp (Executive bribery and corrupt exchanges)</t>
  </si>
  <si>
    <t>AbsExecEmbTheftVDEM</t>
  </si>
  <si>
    <t>Absence of Embezzlement &amp; Theft in the Executive</t>
  </si>
  <si>
    <t>This sub-sub-indicator assesses how often members of the executive (the head of state, the head of government, and cabinet ministers), or their agents, steal, embezzle, or misappropriate public funds or other state resources for personal or family use.</t>
  </si>
  <si>
    <t>v2exembez_osp (Executive Embezzlement &amp; Theft)</t>
  </si>
  <si>
    <t>AbsCorrPubSect</t>
  </si>
  <si>
    <t>Absence of Corruption in the Public Sector</t>
  </si>
  <si>
    <t>V-DEM/WEF/WJP</t>
  </si>
  <si>
    <t xml:space="preserve">This indicator assesses the extent to which there are no illegal diversions of public funds and public sector employees (including the police and the military) do not engage in bribery, embezzlement or theft, as well as the extent to which administrative processes are free from bribery. </t>
  </si>
  <si>
    <t>AbsPubSectTheft</t>
  </si>
  <si>
    <t>Absence of Public Sector Theft</t>
  </si>
  <si>
    <t>V-DEM/WEF</t>
  </si>
  <si>
    <t>This sub-indicator assesses the extent to which public funds are not illegally being diverted and public sector employees do not engage in embezzlement and theft.</t>
  </si>
  <si>
    <t>AbsDivPubFundsWEF</t>
  </si>
  <si>
    <t>Absence of Diversion of Public Funds</t>
  </si>
  <si>
    <t>This sub-sub-indicator assesses how commonly public funds are illegally diverted to companies, individuals, or groups.</t>
  </si>
  <si>
    <t>Diversion of public funds</t>
  </si>
  <si>
    <t>AbsTheftEmbPubSecVDEM</t>
  </si>
  <si>
    <t xml:space="preserve">Absence of Embezzlement &amp; Theft in the Public Sector </t>
  </si>
  <si>
    <t xml:space="preserve">This sub-sub-indicator assesses how often public sector employees steal, embezzle, or misappropriate public funds or other state resources for personal or family use. </t>
  </si>
  <si>
    <t>v2exthftps_osp (Public Sector Theft)</t>
  </si>
  <si>
    <t>AbsBribPubSec</t>
  </si>
  <si>
    <t>Absence of Public Sector Bribery</t>
  </si>
  <si>
    <t xml:space="preserve">This sub-indicator assesses the extent to which bribery is absent from administrative processes, the extent to which the police and military do not use public office for private gain and public sector employees do not engage in bribery. </t>
  </si>
  <si>
    <t>AbsBribAdminProcWJP</t>
  </si>
  <si>
    <t>Absence of Bribery in Administrative Processes</t>
  </si>
  <si>
    <t>This sub-sub-indicator assesses the extent to which people have to pay bribes, informal payments, or other monetary /non-monetary inducements for permits, licenses, and administrative proceedings. This includes registering an ownership title over immovable property; registering a new business; expediting the delivery of a construction permit; clearing goods through customs; obtaining a driver's license, expediting the delivery of an occupation health and safety permit; obtaining service of process in a labour lawsuit; obtaining an ID to receive a basic treatment at a public hospital.</t>
  </si>
  <si>
    <t>Permits, licenses, and administrative proceedings</t>
  </si>
  <si>
    <t xml:space="preserve">Before 2015 scores across iterations of the Rule of Law Index are not strictly comparable. Therefore, the IIAG does not include any variables from iterations prior to the 2015 Rule of Law Index. Between different iterations, there have also been changes in the construction of indicators, compromising strict comparability. In the case of this variable, data is included as of the 2017/18 edition of the Rule of Law Index.   
WJP does not publish raw data for sub-sub-factors of their framework. For the purpose of the IIAG, data on this variable was thus shared by WJP with MIF. Raw data for this variable is available via the IIAG Excel and online data portal. </t>
  </si>
  <si>
    <t xml:space="preserve">For the 2017/2018 edition of the Rule of Law Index, the average for this variable was calculated with questions that have less than five QRQ experts in Burkina Faso, Liberia, Morocco, Sierra Leone, Uganda, Zambia and Zimbabwe. For the 2019 edition of the Rule of Law Index, the average for this variable was calculated with questions that have less than five QRQ experts in Angola, Guinea, Mali, Mauritania, Morocco, Namibia, Niger, Rwanda and Uganda. For the 2020 edition of the Rule of Law Index, the average for this variable was calculated with questions that have less than five QRQ experts in Angola, Gambia, Mali, Morocco, Niger, Rwanda and Uganda. 
For the 2017/18 edition of the Rule of Law Index, one or more questions were removed from the average of the variable due to a failure to validate the data points for these questions in Sierra Leone. For the 2019 edition of the Rule of Law Index, one or more questions were removed from the average of the variable due to a failure to validate the data points for these questions in Algeria, Angola, Benin, DR Congo, Guinea, Mali, Mauritania, Mauritius, Mozambique, Namibia, Niger, Rwanda and Togo. For the 2020 edition of the Rule of Law Index, one or more questions were removed from the average of the variable due to a failure to validate the data points for these questions in Algeria, Angola, Benin, DR Congo, Gambia, Guinea, Mali, Mauritania, Mauritius, Mozambique, Namibia, Niger, Rwanda and Togo. For the 2021 edition of the Rule of Law Index, one or more questions were removed from the average of the variable due to a failure to validate the data points for these questions in Algeria, Angola, Benin, Congo Republic, DR Congo, Gambia, Guinea, Mali, Mauritania, Mauritius, Mozambique, Namibia, Niger, Rwanda, Sudan and Togo. </t>
  </si>
  <si>
    <t>AbsBribPolMilWJP</t>
  </si>
  <si>
    <t>Absence of Bribery in the Police &amp; Military</t>
  </si>
  <si>
    <t xml:space="preserve">This sub-sub-indicator assesses the extent to which government officials in the police and the military do not use public office for private gain. This is based on the following criteria: the extent to which criminal organisations influence the policies and actions of the military and the police; police or law enforcement officers are likely to request a bribe to perform their duties or expedite a process; local police officers are likely to collect bribes from traders and small merchants; police turn a blind eye to illegal activities when receiving a bribe; police officers and court officers are likely to request or receive bribes to actually investigate a crime, prosecute a criminal, drop charges or grant bail, destroy or tamper with evidence, or expedite court processes; prosecutors, investigators, judicial police and police officers are involved in corrupt practices; people have to pay a bribe to receive the services of the police. </t>
  </si>
  <si>
    <t>Government officials in the police and the military do not use public office for private gain</t>
  </si>
  <si>
    <t>AbsBribCorrExPubSecVDEM</t>
  </si>
  <si>
    <t>Absence of Bribery or Corrupt Exchanges in the Public Sector</t>
  </si>
  <si>
    <t>This sub-sub-indicator assesses how routinely public sector employees (excluding the military) grant favours in exchange for bribes, kickbacks, or other material inducements.</t>
  </si>
  <si>
    <t>v2excrptps_osp (Public Sector Corrupt Exchanges)</t>
  </si>
  <si>
    <t>PubProcuProc</t>
  </si>
  <si>
    <t>Public Procurement Procedures</t>
  </si>
  <si>
    <t>This indicator assesses the extent to which there are competitive bidding procedures for public procurement, government procurement is free from corruption and companies found guilty of violating the law are excluded from participating in future bidding.</t>
  </si>
  <si>
    <t>CompBidProcuGI</t>
  </si>
  <si>
    <t>Competitive Bidding in Procurement</t>
  </si>
  <si>
    <t xml:space="preserve">This sub-indicator assesses the extent to which bids from competing contractors, suppliers, or vendors are invited through open advertising of the scope, specifications, and terms of the proposed contract, and the criteria by which the bids are evaluated are available for scrutiny. </t>
  </si>
  <si>
    <t xml:space="preserve">In practice, major public procurements involve competitive bidding </t>
  </si>
  <si>
    <t>ExclPrevIncCrompProcurProcGI</t>
  </si>
  <si>
    <t>Exclusion of Incriminated Companies from Procurement</t>
  </si>
  <si>
    <t>This sub-indicator assesses the extent to which companies found guilty of violating the law (procurement, tax, labour, corruption, etc.) are forbidden from participating in future bidding in the country, whether indefinitely or for a limited period of time, and the extent to which there is a registry of companies forbidden from bidding that citizens can access immediately or in less than two weeks upon request.</t>
  </si>
  <si>
    <t>In practice, companies found guilty of violating procurement regulations are prohibited from participating in in future bids</t>
  </si>
  <si>
    <t>AbsCorrGovProcWJP</t>
  </si>
  <si>
    <t>Absence of Corruption in Government Procurement</t>
  </si>
  <si>
    <t xml:space="preserve">This sub-indicator assesses the extent to which government procurement or major public works are awarded through an open and competitive bidding process and how likely it is that corporations make illegal payments to high-ranking government officials in exchange for favourable treatment, such as awards of government contracts. </t>
  </si>
  <si>
    <t>Government procurement</t>
  </si>
  <si>
    <t xml:space="preserve">Before 2015 scores across iterations of the Rule of Law Index are not strictly comparable. Therefore, the IIAG does not include any variables from iterations prior to the 2015 Rule of Law Index. WJP does not publish raw data for sub-sub-factors of their framework. For the purpose of the IIAG, data on this variable was thus shared by WJP with MIF. Raw data for this variable is available via the IIAG Excel and online data portal. 
WJP does not publish raw data for sub-sub-factors of their framework. For the purpose of the IIAG, data on this variable was thus shared by WJP with MIF. Raw data for this variable is available via the IIAG Excel and online data portal. </t>
  </si>
  <si>
    <t xml:space="preserve">For the 2015 edition of the Rule of Law Index, the average for this variable was calculated with questions that have less than five QRQ experts in Sierra Leone. For the 2019 edition of the Rule of Law Index, the average for this variable was calculated with questions that have less than five QRQ experts in Niger and Rwanda. 
For the 2019 edition of the Rule of Law Index, one or more questions were removed from the average of the variable due to a failure to validate the data points for these questions in Algeria. For the 2020 edition of the Rule of Law Index, one or more questions were removed from the average of the variable due to a failure to validate the data points for these questions in Algeria. For the 2021 edition of the Rule of Law Index, one or more questions were removed from the average of the variable due to a failure to validate the data points for these questions in Cameroon.  </t>
  </si>
  <si>
    <t>AbsCorrPrivSect</t>
  </si>
  <si>
    <t>Absence of Corruption in the Private Sector</t>
  </si>
  <si>
    <t>WB/WEF</t>
  </si>
  <si>
    <t xml:space="preserve">This indicator assesses the extent to which individuals/companies do not engage in corrupt activities to conduct business. </t>
  </si>
  <si>
    <t>AbsIrregPayBribFrimsWEF</t>
  </si>
  <si>
    <t>Absence of Irregular Payments &amp; Bribes by Firms</t>
  </si>
  <si>
    <t>This sub-indicator assesses how common it is for firms to make undocumented extra payments or bribes connected with (a) imports and exports; (b) public utilities; (c) annual tax payments; (d) awarding of public contracts and licenses; (e) obtaining favourable judicial decisions. This sub-indicator is an aggregate of these five underlying variables and the calculation is done by MIF.</t>
  </si>
  <si>
    <t>Irregular payments in exports and imports, irregular payments in public utilities, irregular payments in tax collection, irregular payments in public contracts, irregular payments in judicial decisions</t>
  </si>
  <si>
    <t>This is the result of averaging five variables from WEF’s Executive Opinion Survey. Underlying data was shared directly by source with MIF on 12.05.2022 and is made available via the 2022 IIAG Excel and online data portals.</t>
  </si>
  <si>
    <t>This sub-indicator is an aggregate of five underlying variables including: Irregular payments in exports and imports, Irregular payments in public utilities, Irregular payments in tax collection, Irregular payments in public contracts, Irregular payments in judicial decisions. Calculation is done by MIF.</t>
  </si>
  <si>
    <t>AbsCorrBusWB</t>
  </si>
  <si>
    <t>Absence of Corruption in Business</t>
  </si>
  <si>
    <t>WB</t>
  </si>
  <si>
    <t>World Bank</t>
  </si>
  <si>
    <t>Worldwide Governance Indicators</t>
  </si>
  <si>
    <t>HIS Markit Country Risk Service (WMO)</t>
  </si>
  <si>
    <t>This sub-indicator assesses the risk that individuals/companies will face bribery or other corrupt practices to carry out business, from securing major contracts to being allowed to import/export a small product or obtain everyday paperwork.</t>
  </si>
  <si>
    <t>WMO[year]CC</t>
  </si>
  <si>
    <t>https://www.worldbank.org/content/dam/sites/govindicators/doc/cc.pdf</t>
  </si>
  <si>
    <t>PubPercCorr</t>
  </si>
  <si>
    <t>Public Perception of Anti-Corruption</t>
  </si>
  <si>
    <t>This indicator assesses the extent to which citizens feel that the head of the executive, members of parliament and the police are not involved in corruption, the extent to which citizens feel that they do not need to bribe government officials in exchange of administrative services, as well as citizens' satisfaction with how the government is doing at fighting government corruption.</t>
  </si>
  <si>
    <t>PercIntPubOff</t>
  </si>
  <si>
    <t>Perceived Integrity of Public Officials</t>
  </si>
  <si>
    <t>This sub-indicator assesses the extent to which citizens feel the head of the executive, members of parliament and the police are not involved in corruption.</t>
  </si>
  <si>
    <t>PercIntHeadExecAFR</t>
  </si>
  <si>
    <t>Perceived Integrity of the Head of the Executive</t>
  </si>
  <si>
    <t>This sub-sub-indicator assesses the extent to which citizens feel the president and officials in their office are not involved in corruption.</t>
  </si>
  <si>
    <t xml:space="preserve">Corruption: office of the Presidency </t>
  </si>
  <si>
    <t>PercIntMembersParlAFR</t>
  </si>
  <si>
    <t>Perceived Integrity of Members of Parliament</t>
  </si>
  <si>
    <t>This sub-sub-indicator assesses the extent to which citizens feel that members of parliament are not involved in corruption.</t>
  </si>
  <si>
    <t>Corruption: Members of Parliament</t>
  </si>
  <si>
    <t>PercIntPolAFR</t>
  </si>
  <si>
    <t>Perceived Integrity of the Police</t>
  </si>
  <si>
    <t>This sub-sub-indicator assesses the extent to which citizens feel that the police is not involved in corruption.</t>
  </si>
  <si>
    <t>Corruption: police</t>
  </si>
  <si>
    <t>PercBribAdminServAFR</t>
  </si>
  <si>
    <t>Perceived Freedom from Paying Bribes for Administrative Services</t>
  </si>
  <si>
    <t xml:space="preserve">This sub-indicator assesses the extent to which citizens feel they do not need to pay a bribe, give a gift, or do a favour for a government official in order to get the document they need. </t>
  </si>
  <si>
    <t>Pay bribe for identity document</t>
  </si>
  <si>
    <t>Algeria, Burundi, Central African Republic, Chad, Comoros, DR Congo, Djibouti, Egypt, Equatorial Guinea, Eritrea, Guinea-Bissau, Libya, Rwanda, Somalia, South Sudan</t>
  </si>
  <si>
    <t>Congo Republic, Mauritania, Seychelles</t>
  </si>
  <si>
    <t>SatFightCorrAFR</t>
  </si>
  <si>
    <t>Satisfaction with Fighting Corruption</t>
  </si>
  <si>
    <t>This sub-indicator assesses the extent to which citizens feel the government is doing well at fighting corruption in government.</t>
  </si>
  <si>
    <t>Handling fighting corruption/handling fighting corruption in government</t>
  </si>
  <si>
    <t>1 observation for Algeria in Round 6 wrongly coded 0 is excluded.</t>
  </si>
  <si>
    <t>PRI</t>
  </si>
  <si>
    <t>PARTICIPATION, RIGHTS &amp; INCLUSION</t>
  </si>
  <si>
    <r>
      <t xml:space="preserve">This category assesses and is composed of </t>
    </r>
    <r>
      <rPr>
        <b/>
        <i/>
        <sz val="10"/>
        <color rgb="FF000000"/>
        <rFont val="Bliss 2 Light"/>
        <family val="3"/>
      </rPr>
      <t>Participation, Rights, Inclusion &amp; Equality and Women's Equality</t>
    </r>
    <r>
      <rPr>
        <b/>
        <sz val="10"/>
        <color rgb="FF000000"/>
        <rFont val="Bliss 2 Light"/>
        <family val="3"/>
      </rPr>
      <t>.</t>
    </r>
  </si>
  <si>
    <t>PARTICIP</t>
  </si>
  <si>
    <t>PARTICIPATION</t>
  </si>
  <si>
    <t>This sub-category assesses freedom of association and assembly, political pluralism, civil society space, the integrity of elections, deliberatory and participatory governance, as well as the public perception of political participation.</t>
  </si>
  <si>
    <t>FreeAssocAss</t>
  </si>
  <si>
    <t>Freedom of Association &amp; Assembly</t>
  </si>
  <si>
    <t>AFIDEP/FH</t>
  </si>
  <si>
    <t xml:space="preserve">This indicator assesses the extent to which citizens can associate and assemble freely. </t>
  </si>
  <si>
    <t>FreeAssocGI</t>
  </si>
  <si>
    <t>Freedom of Association</t>
  </si>
  <si>
    <t>This sub-indicator assesses the extent to which citizens are able to associate freely with their peers in public, they are free to express dissent in public settings and are free to participate in civic and political organisations.</t>
  </si>
  <si>
    <t>In practice, citizens are able to associate freely</t>
  </si>
  <si>
    <t>FreeAssFH</t>
  </si>
  <si>
    <t>Freedom of Assembly</t>
  </si>
  <si>
    <t xml:space="preserve">This sub-indicator assesses to which extent there is freedom of assembly. </t>
  </si>
  <si>
    <t>Is there freedom of assembly?</t>
  </si>
  <si>
    <t>PolPlur</t>
  </si>
  <si>
    <t>Political Pluralism</t>
  </si>
  <si>
    <t xml:space="preserve">This indicator assesses the extent to which political parties are free to operate and have equal access to state-owned media and public financing for campaigns. </t>
  </si>
  <si>
    <t>FreePolPartVDEM</t>
  </si>
  <si>
    <t>Freedom of Political Parties</t>
  </si>
  <si>
    <t>This sub-indicator assesses the extent to which any political parties are banned, barriers to party formation exist and the opposition parties are independent from the ruling regime.</t>
  </si>
  <si>
    <t>Bespoke: Party ban (v2psparban), Barriers to parties (v2psbars), Opposition parties autonomy (v2psoppaut)</t>
  </si>
  <si>
    <t xml:space="preserve">Bespoke index (raw data scores are a combination of selected variables from the V-Dem dataset) calculated for MIF by V-DEM for the purpose of the IIAG. Raw data scores for this variable are made available via the IIAG Excel and online data portal.  It consists of the V-DEM variables: Party Ban, Barriers to Parties, Opposition Parties Autonomy. </t>
  </si>
  <si>
    <t>EquAccStateMediaGI</t>
  </si>
  <si>
    <t>Equal Party Access to State-Owned Media</t>
  </si>
  <si>
    <t>This sub-indicator assesses the extent to which candidates/political parties have equal access to and receive fair treatment in state-owned media outlets, access is equal in both news reports and editorial commentary, and candidates/political parties are offered the same rates for campaign advertising.</t>
  </si>
  <si>
    <t>In practice, candidates/political parties have equitable access to state-owned media outlets</t>
  </si>
  <si>
    <t>PubCampFinVDEM</t>
  </si>
  <si>
    <t>Public Party Campaign Finance</t>
  </si>
  <si>
    <t>This sub-indicator assesses the extent to which significant public financing is available for parties’ and/or candidates’ campaigns for national office.</t>
  </si>
  <si>
    <t>v2elpubfin_osp (Public campaign finance)</t>
  </si>
  <si>
    <t>CivSocSpace</t>
  </si>
  <si>
    <t>Civil Society Space</t>
  </si>
  <si>
    <t>This indicator assesses the extent to which civil society and non-governmental organisations (NGOs) are free to establish and operate and are free from repression and persecution.</t>
  </si>
  <si>
    <t>EstabOpCivSoc</t>
  </si>
  <si>
    <t>Establishment &amp; Operation of Civil Society</t>
  </si>
  <si>
    <t xml:space="preserve">This sub-indicator assesses the extent to which civil society and non-governmental organisations (NGOs) can establish and operate freely. </t>
  </si>
  <si>
    <t>CSOEntExVDEM</t>
  </si>
  <si>
    <t>Civil Society Entry &amp; Exit</t>
  </si>
  <si>
    <t xml:space="preserve">This sub-sub-indicator assesses the extent to which government controls entry and exit by civil society organisations (CSOs) into public life. </t>
  </si>
  <si>
    <t>v2cseeorgs_osp (CSO entry and exit)</t>
  </si>
  <si>
    <t>AbdBarrNGOOpGI</t>
  </si>
  <si>
    <t>Absence of Barriers to Non-Governmental Organisations (NGOs)</t>
  </si>
  <si>
    <t>This sub-sub-indicator assesses the extent to which non-governmental organisations (NGOs) can organise freely, there are no major obstacles to setting up a new NGO, and NGOs are not required to file more paperwork than other legal persons.</t>
  </si>
  <si>
    <t>In practice, the government does not create obstacles for existing non profit organizations (NGOs) or put in place barriers for establishing new ones</t>
  </si>
  <si>
    <t>AbsHarrasCivSoc</t>
  </si>
  <si>
    <t>Absence of Harassment of Civil Society</t>
  </si>
  <si>
    <t xml:space="preserve">This sub-indicator assesses the extent to which civil society and non-governmental organisations (NGOs) are free from repression and persecution. </t>
  </si>
  <si>
    <t>AbsCSORepVDEM</t>
  </si>
  <si>
    <t>Absence of Civil Society Repression</t>
  </si>
  <si>
    <t>This sub-sub-indicator assesses the extent to which government attempts to repress civil society organisations (CSOs).</t>
  </si>
  <si>
    <t>v2csreprss_osp (CSO repression)</t>
  </si>
  <si>
    <t>AbsNGOPersGI</t>
  </si>
  <si>
    <t>Absence of Persecution of Non-Governmental Organisations (NGOs)</t>
  </si>
  <si>
    <t xml:space="preserve">This sub-sub-indicator measures the extent to which non-governmental organisation (NGO) employees were killed, imprisoned, interrogated, threatened or physically harmed in relation to their work in the last year. </t>
  </si>
  <si>
    <t>In practice, no NGO employees were killed, imprisoned, interrogated, threatened or physically harmed in the past year</t>
  </si>
  <si>
    <t>DemElec</t>
  </si>
  <si>
    <t>Democratic Elections</t>
  </si>
  <si>
    <t>AFIDEP/CDD-Ghana/V-DEM</t>
  </si>
  <si>
    <t xml:space="preserve">This indicator assesses the extent to which elections are free and fair and the extent to which election monitoring bodies and agencies are independent and have operating capacity, including for reporting. </t>
  </si>
  <si>
    <t>IntegrElec</t>
  </si>
  <si>
    <t>Integrity of Elections</t>
  </si>
  <si>
    <t>CDD-Ghana/V-DEM</t>
  </si>
  <si>
    <t>This sub-indicator assesses the extent to which elections are free and fair and held regularly without irregularities and/or violence.</t>
  </si>
  <si>
    <t>FreeFairExecElecCDD</t>
  </si>
  <si>
    <t>Free &amp; Fair Executive Elections</t>
  </si>
  <si>
    <t>CDD-Ghana</t>
  </si>
  <si>
    <t xml:space="preserve">Ghana Center for Democratic Development </t>
  </si>
  <si>
    <t>African Electoral Index: 2000-2023</t>
  </si>
  <si>
    <t>This sub-sub-indicator assesses the extent to which executive elections are free and fair, including the extent to which the opposition was able to participate in an election. Pre-election, campaign, election day and post-election electoral procedures are all evaluated. Levels of intimidation and violence, allowance or restriction of demonstrations, freedom of access to information, opposition party participation or boycotts, the losing party’s acceptance of results and turnover of power are also taken into consideration.</t>
  </si>
  <si>
    <t>Index</t>
  </si>
  <si>
    <t>0-8</t>
  </si>
  <si>
    <t>https://mo-s3.ibrahim.foundation/u/2018/10/28221135/2018-African-Electoral-Index-CDD-Ghana.pdf</t>
  </si>
  <si>
    <t xml:space="preserve">Since 2016, MIF commissions CDD-Ghana with the production of the African Electoral Index based on a methodology developed at the Institut de Recherche Empirique en Économie Politique (IREEP) in Benin. The methodology is made available on the MIF website and raw data scores are made available in the IIAG Excel and online data portal. </t>
  </si>
  <si>
    <t>Final dataset was shared by source with MIF on 2 August 2024.</t>
  </si>
  <si>
    <t>FreeFairElecVDEM</t>
  </si>
  <si>
    <t>Free &amp; Fair Elections</t>
  </si>
  <si>
    <t>This sub-sub-indicator assesses the extent to which in the most recent national election there was evidence of irregularities in the voter registry, vote and/or turnout buying, evidence of any irregularities and/or vote fraud, opposition candidates/parties/campaign workers were subjected to any form of government intimidation or repression, was free from other electoral violence, and the extent of election freedom in the pre-, during and post-election process.</t>
  </si>
  <si>
    <t>Bespoke: Election voter registry (v2elrgstry), Election vote buying (v2elvotbuy), Election other voting irregularities (v2elirreg), Election government intimidation (v2elintim), Election other electoral violence (v2elpeace), Election free and fair (v2elfrfair)</t>
  </si>
  <si>
    <t>Bespoke index (raw data scores are a combination of selected variables from the V-Dem dataset) calculated for MIF by V-DEM for the purpose of the IIAG. Raw data scores for this variable are made available via the IIAG Excel and online data portal. It consists of the V-DEM variables: Election Voter Registry, Election Vote Buying, Election other Voting Irregularities, Election Government Intimidation, Election other Electoral Violence, Election Free and Fair</t>
  </si>
  <si>
    <t>CapElecMonAg</t>
  </si>
  <si>
    <t>Election Monitoring Bodies &amp; Agencies</t>
  </si>
  <si>
    <t xml:space="preserve">This sub-indicator assesses the extent to which the election management bodies and agencies are autonomous and independent and have operating capacity, as well as the extent to which they are fulfilling their reporting responsibilities. </t>
  </si>
  <si>
    <t>CapElecMonAgVDEM</t>
  </si>
  <si>
    <t>Autonomy &amp; Capacity of Election Management Bodies</t>
  </si>
  <si>
    <t>This sub-sub-indicator assesses the autonomy of election management bodies from the government to apply election laws and administrative rules impartially in national elections, and the extent to which they have sufficient staff and resources to administer a well-run national election.</t>
  </si>
  <si>
    <t>Bespoke: EMB autonomy (v2elembaut), EMB capacity (v2elembcap)</t>
  </si>
  <si>
    <t>Bespoke index (raw data scores are a combination of selected variables from the V-Dem dataset) calculated for MIF by V-DEM for the purpose of the IIAG. Raw data scores for this variable are made available via the IIAG Excel and online data portal. It consists of the V-DEM variables: EMB Autonomy, EMB Capacity</t>
  </si>
  <si>
    <t>ElecMonAgIndGI</t>
  </si>
  <si>
    <t>Independence of Election Monitoring Agencies</t>
  </si>
  <si>
    <t>This sub-sub-indicator assesses the extent to which electoral officials are always chosen through merit-selection systems, the extent to which appointees are disciplined/removed only through due process by a peer panel/oversight body, and whether appointees are not removed when a new administration takes power.</t>
  </si>
  <si>
    <t>In practice, appointments to the agency/agencies mandated to organize and monitor national elections support the independence of the agency or agencies</t>
  </si>
  <si>
    <t xml:space="preserve">Data for this variable was shared directly by source with MIF. Different score to variable of same name available on website. In round 6 (IIAG 2017) it was agreed between MIF and GI to merge indicator #20 and #21.  Both indicators measured the political independence of the Electoral Commission in a country, using different scoring criteria. Hence, GI merged the indicators into #21 to allow for the indicators to be measured consistently across sections and to capture and reflect more nuances, including merit-based appointments, and thereby follow the same format as other indicators do. As a result, GI agreed with the MIF to recalculate the scores for the IIAG for MIF purposes only. Raw data scores are available in the IIAG Excel as well as online data portal. </t>
  </si>
  <si>
    <t>ElecMonAgRepGI</t>
  </si>
  <si>
    <t>Reporting of Election Monitoring Agencies</t>
  </si>
  <si>
    <t xml:space="preserve">This sub-sub-indicator assesses the extent to which the election monitoring agency/agencies publish/es at least one report before the election and one report after the election, and the publications are easily accessible to citizens less than one month after issuance online or at cost of photocopying.   </t>
  </si>
  <si>
    <t>In practice, the agency/agencies mandated to organize and monitor national elections make/s timely, publicly available reports before and after a national election</t>
  </si>
  <si>
    <t>DelibPartGov</t>
  </si>
  <si>
    <t>Deliberative &amp; Participatory Governance</t>
  </si>
  <si>
    <t>This indicator assesses the extent to which political elites provide public, reasoned and common good considerations prior to policy changes, acknowledging and respecting counterarguments, as well as the extent to which there is a wide range of consultation at elite levels when policy changes are being considered.</t>
  </si>
  <si>
    <t>PubReasonedJustifVDEM</t>
  </si>
  <si>
    <t>Public &amp; Reasoned Justifications for Policy Changes</t>
  </si>
  <si>
    <t>This sub-indicator measures to what extent political elites give public and reasoned justifications for their positions when important policy changes are being considered, i.e. before a decision has been made.</t>
  </si>
  <si>
    <t>v2dlreason_osp (Reasoned justification)</t>
  </si>
  <si>
    <t>0-3</t>
  </si>
  <si>
    <t>CommGoodJustVDEM</t>
  </si>
  <si>
    <t>Common Good Justifications for Policy Changes</t>
  </si>
  <si>
    <t>This sub-indicator measures to what extent political elites justify their positions in terms of common good when important policy changes are being considered.</t>
  </si>
  <si>
    <t>v2dlcommon_osp (Common good)</t>
  </si>
  <si>
    <t>RespCounterargVDEM</t>
  </si>
  <si>
    <t>Respect for Counterarguments</t>
  </si>
  <si>
    <t>This sub-indicator measures to what extent political elites acknowledge and respect counterarguments when important policy changes are being considered.</t>
  </si>
  <si>
    <t>v2dlcountr_osp (Respect counterarguments)</t>
  </si>
  <si>
    <t>0-5</t>
  </si>
  <si>
    <t>BroadElConsVDEM</t>
  </si>
  <si>
    <t>Range of Political Consultation</t>
  </si>
  <si>
    <t>This sub-indicator assesses the extent to which there is a wide range of consultation at elite levels when important policy changes are being considered.</t>
  </si>
  <si>
    <t>v2dlconslt_osp (Range of consultation)</t>
  </si>
  <si>
    <t>IndPubDelivVDEM</t>
  </si>
  <si>
    <t>Independent &amp; Public Deliberations of Policy Changes</t>
  </si>
  <si>
    <t>This sub-indicator measures how wide and independent public deliberations are in the consideration of important policy changes. Deliberations can include discussion, debate, and other public forums such as popular media.</t>
  </si>
  <si>
    <t>v2dlengage_osp (Engaged society)</t>
  </si>
  <si>
    <t>PubPercElecFree</t>
  </si>
  <si>
    <t>Public Perception of Political Participation</t>
  </si>
  <si>
    <t>This indicator assesses whether citizens were able to vote in the last national election as well as the extent to which citizens think that political pluralism is beneficial.</t>
  </si>
  <si>
    <t>PercIntElec</t>
  </si>
  <si>
    <t>Perceived Integrity of Elections</t>
  </si>
  <si>
    <t>This sub-sub-indicator assesses the extent to which citizens feel the last national election was free and fair as well as the extent to which citizens trust the national electoral commission.</t>
  </si>
  <si>
    <t>PercFreeFairElecAFR</t>
  </si>
  <si>
    <t>Perceived Freedom &amp; Fairness of Elections</t>
  </si>
  <si>
    <t>This sub-sub-indicator assesses the extent to which citizens feel the last national election was free and fair.</t>
  </si>
  <si>
    <t>Freeness and fairness of the last national election</t>
  </si>
  <si>
    <t>PubTrustElecCommAFR</t>
  </si>
  <si>
    <t>Public Trust in the Electoral Commission</t>
  </si>
  <si>
    <t>This sub-sub-indicator assesses the extent to which citizens trust the national electoral commission.</t>
  </si>
  <si>
    <t>Trust national electoral commission</t>
  </si>
  <si>
    <t>PercElecParticipAFR</t>
  </si>
  <si>
    <t>Perception of Electoral Participation</t>
  </si>
  <si>
    <t>This sub-indicator assesses whether citizens were able to vote in the last nation election.</t>
  </si>
  <si>
    <t>Voted in last national election</t>
  </si>
  <si>
    <t xml:space="preserve">MIF codes this indicator/sub-indicator/sub-sub-indicator as the sum of the two most positive responses to the question as a percentage of all responses. For a comprehensive overview of how Afrobarometer data is used in the IIAG see http://mo.ibrahim.foundation/iiag/methodology/
Sometimes the two most positive responses can be “negative” responses like never or rarely. The total of responses (our denominator) includes “Don’t knows” and “Refused to answer” but excludes “Missings” (usually coded as “-1”) and “Not applicable”/”No contact” (usually coded as “7”). For some questions with a lot of “Not applicable” answers, sample size can be very small after excluding those. For this question, "Too young to vote" was also excluded from the total of responses as this is similar to "Not applicable".
Data years are assigned according to the year in which AFR concluded its fieldwork in the country for the specific round. </t>
  </si>
  <si>
    <t>For this question, "Too young to vote" was also excluded from the total of responses as this is similar to "Not applicable".</t>
  </si>
  <si>
    <t>PercPolitPlurAFR</t>
  </si>
  <si>
    <t>Perception of Political Pluralism</t>
  </si>
  <si>
    <t>This sub-indicator measures agreement with the following statement: Many political parties are needed to make sure that [citizens of country in question] have real choices in who governs them.</t>
  </si>
  <si>
    <t>Multiple political parties necessary vs. unnecessary</t>
  </si>
  <si>
    <t>RIGHTS</t>
  </si>
  <si>
    <t>This sub-category assesses personal liberties, freedom of expression and belief, including academic freedom, media and digital freedom, protection against discrimination, as well as the public perception of freedom of speech.</t>
  </si>
  <si>
    <t>PersLibert</t>
  </si>
  <si>
    <t>Personal Liberties</t>
  </si>
  <si>
    <t>FH/V-DEM/WJP</t>
  </si>
  <si>
    <t xml:space="preserve">This indicator assesses the extent to which citizens enjoy freedom of movement, personal social freedoms and the right to privacy. </t>
  </si>
  <si>
    <t>FreedMovVDEM</t>
  </si>
  <si>
    <t>Freedom of Movement</t>
  </si>
  <si>
    <t>This sub-indicator assesses the extent to which there is freedom of foreign travel and emigration and the extent to which citizens enjoy freedom of movement and residence without restrictions by public authorities.</t>
  </si>
  <si>
    <t>Bespoke: Freedom of foreign movement (v2clfmove), Freedom of domestic movement (v2xcl_dmove)</t>
  </si>
  <si>
    <t>Bespoke index (raw data scores are a combination of selected variables from the V-Dem dataset) calculated for MIF by V-DEM for the purpose of the IIAG. Raw data scores for this variable are made available via the IIAG Excel and online data portal.  It consists of the V-DEM variables: Freedom of foreign movement, Freedom of domestic movement</t>
  </si>
  <si>
    <t>SocFreedFH</t>
  </si>
  <si>
    <t>Personal Social Freedoms</t>
  </si>
  <si>
    <t>This sub-indicator assesses the extent to which individuals enjoy personal social freedoms, including choice of marriage partner and size of family, protection from domestic violence, and control over appearance.</t>
  </si>
  <si>
    <t>Do individuals enjoy personal social freedoms, including choice of marriage partner and size of family, protection from domestic violence, and control over appearance?</t>
  </si>
  <si>
    <t>RightToPrivWJP</t>
  </si>
  <si>
    <t>Right to Privacy</t>
  </si>
  <si>
    <t>This sub-indicator assesses the extent to which freedom from arbitrary interference with privacy is effectively guaranteed. This is based on the following criteria: the extent to which government agents are likely to intercept (wiretap) private telephone or electronic communications of regular citizens, or political opponents without judicial authorisation; a political dissident is likely to be taken from their home to a detention centre without any warrant of arrest; a political dissident is likely to have their house searched by the police without a warrant.</t>
  </si>
  <si>
    <t>Freedom from arbitrary interference with privacy is effectively guaranteed</t>
  </si>
  <si>
    <t>FreeExpBelief</t>
  </si>
  <si>
    <t>Freedom of Expression &amp; Belief</t>
  </si>
  <si>
    <t>This indicator assesses the extent to which citizens enjoy freedom of expression, academic freedom and freedom of religion and belief.</t>
  </si>
  <si>
    <t>FreeExp</t>
  </si>
  <si>
    <t>Freedom of Expression</t>
  </si>
  <si>
    <t>FH/V-DEM</t>
  </si>
  <si>
    <t>This sub-indicator assesses the extent to which citizens enjoy freedom to express personal opinion and academic freedom.</t>
  </si>
  <si>
    <t>FreeExpPersOpFH</t>
  </si>
  <si>
    <t>Freedom to Express Personal Opinion</t>
  </si>
  <si>
    <t>This sub-sub-indicator assesses to which extent individuals are free to express their personal views on political or other sensitive topics without fear of surveillance or retribution.</t>
  </si>
  <si>
    <t>Are individuals free to express their personal views on political or other sensitive topics without fear of surveillance or retribution?</t>
  </si>
  <si>
    <t>AcadCultFreeVDEM</t>
  </si>
  <si>
    <t>Academic Freedom</t>
  </si>
  <si>
    <t xml:space="preserve">This sub-sub-indicator assesses the extent to which academic freedom is respected. Academic freedom is understood as the right of academics, without constriction by prescribed doctrine, freedom of teaching and discussion, freedom in carrying out research and disseminating and publishing the results thereof, freedom to express freely their opinion about the institution or system in which they work, freedom from institutional censorship and freedom to participate in professional or representative academic bodies (UNESCO 1997 Recommendation concerning the Status of Higher-Education Teaching Personnel). The Academic Freedom Index is designed to provide an aggregated measure that captures the de facto realisation of academic freedom, including the degree to which higher-education institutions are autonomous. </t>
  </si>
  <si>
    <t>v2xca_academ (Academic Freedom Index)</t>
  </si>
  <si>
    <t>FreeRelig</t>
  </si>
  <si>
    <t>Freedom of Religion &amp; Belief</t>
  </si>
  <si>
    <t xml:space="preserve">This sub-indicator assesses the extent to which citizens enjoy freedom of religion and belief. </t>
  </si>
  <si>
    <t>ReligFreeFH</t>
  </si>
  <si>
    <t>Freedom of Religion</t>
  </si>
  <si>
    <t xml:space="preserve">This sub-sub-indicator assesses the extent to which individuals are free to practice and express their religious faith or non-belief in public and private. </t>
  </si>
  <si>
    <t>Are individuals free to practice and express their religious faith or nonbelief in public and private?</t>
  </si>
  <si>
    <t>GuarRelBeliefWJP</t>
  </si>
  <si>
    <t>Guaranteed Freedom of Religion &amp; Belief</t>
  </si>
  <si>
    <t>This sub-sub-indicator assesses the extent to which freedom of belief and religion is effectively guaranteed. This includes the extent to which in practice, non-adherents are not required to submit to religious laws and religious minorities can freely and publicly observe their holy days and religious events.</t>
  </si>
  <si>
    <t>Freedom of belief and religion is effectively guaranteed</t>
  </si>
  <si>
    <t>MediaFree</t>
  </si>
  <si>
    <t>Media Freedom</t>
  </si>
  <si>
    <t>AFIDEP/RSF/V-DEM</t>
  </si>
  <si>
    <t>This indicator assesses the extent to which the legislative framework and the political, economic and sociocultural context allow journalists to do their work freely, as well as the extent to which there are abuses against media and against journalists in connection with their work.</t>
  </si>
  <si>
    <t>MediaPolCont</t>
  </si>
  <si>
    <t>Media Political Context</t>
  </si>
  <si>
    <t>RSF/V-DEM</t>
  </si>
  <si>
    <t>This sub-indicator assesses the extent to which the political context allows journalists to do their work freely as well as the extent to which media is impartial.</t>
  </si>
  <si>
    <t>PolContRSF</t>
  </si>
  <si>
    <t>Political Context</t>
  </si>
  <si>
    <t>RSF</t>
  </si>
  <si>
    <t>Reporters sans frontières</t>
  </si>
  <si>
    <t>World Press Freedom Index</t>
  </si>
  <si>
    <t>This sub-sub-indicator measures: the degree of support and respect for media autonomy vis-à-vis political pressure from the state or from other political actors; the level of acceptance of a variety of journalistic approaches satisfying professional standards, including politically aligned approaches and independent approaches; as well as the degree of support for the media in their role of holding politicians and government to account in the public interest.</t>
  </si>
  <si>
    <t>2021-2023</t>
  </si>
  <si>
    <t>Political context (SCORE POL.)</t>
  </si>
  <si>
    <t>https://rsf.org/en/methodology-used-compiling-world-press-freedom-index-2024?year=2024&amp;data_type=general</t>
  </si>
  <si>
    <t>São Tomé and Príncipe</t>
  </si>
  <si>
    <t>Data from source provided with a year lag. Data from 2024 edition refers to 2023 IIAG data year, etc.</t>
  </si>
  <si>
    <t>MIF Research Team has only collected data from the 2022, 2023 and 2024 World Press Freedom Index iterations (corresponding with IIAG data years 2021, 2022 and 2023). This is due to the fact that a change in methodology was undertaken with the 2022 edition of the World Press Freedom Index, making results from the 2022 edition of the World Press Freedom Index not comparable with results of earlier iterations.</t>
  </si>
  <si>
    <t>MediaImpVDEM</t>
  </si>
  <si>
    <t>Media Impartiality</t>
  </si>
  <si>
    <t xml:space="preserve">This sub-indicator measures the extent to which the media is (a) un-biased in their coverage or lack of coverage of the opposition, (b) allowed to be critical of the regime, and (c) representative of a wide array of political perspectives. </t>
  </si>
  <si>
    <t>v2xme_altinf (Alternative sources of information index)</t>
  </si>
  <si>
    <t>MediaLegFram</t>
  </si>
  <si>
    <t>Media Legal Framework</t>
  </si>
  <si>
    <t>AFIDEP/RSF</t>
  </si>
  <si>
    <t>This sub-indicator assesses the extent to which the legal framework allows journalists to do their work freely as well as the extent to which the media is not censored by the government.</t>
  </si>
  <si>
    <t>LegFramRSF</t>
  </si>
  <si>
    <t>Legal Framework</t>
  </si>
  <si>
    <t>This sub-sub-indicator measures: the degree to which journalists and media are free to work without censorship or judicial sanctions, or excessive restrictions on their freedom of expression; the ability to access information without discrimination between journalists, and the ability to protect sources; as well as the presence or absence of impunity for those responsible for acts of violence against journalists.</t>
  </si>
  <si>
    <t>Legal framework (SCORE LEGIS.)</t>
  </si>
  <si>
    <t>AbsMediaCenGI</t>
  </si>
  <si>
    <t>Absence of Media Censorship</t>
  </si>
  <si>
    <t>This sub-indicator assesses the extent to which the government never prevents the publication of information, and the government does not promote the media's self-censorship (for example with threats, discrimination in the application of tax laws, government advertising, etc.).</t>
  </si>
  <si>
    <t>In practice, there is no prior government restraint (pre-publication censoring) and the government doesn't promote the media's self-censorship</t>
  </si>
  <si>
    <t>MedEcSociocCont</t>
  </si>
  <si>
    <t>Media Economic &amp; Sociocultural Context</t>
  </si>
  <si>
    <t>This sub-indicator assesses the extent to which the economic and sociocultural context allow journalists to do their work freely.</t>
  </si>
  <si>
    <t>EconContRSF</t>
  </si>
  <si>
    <t>Economic Context</t>
  </si>
  <si>
    <t>This sub-sub-indicator measures: economic constraints linked to governmental policies (including the difficulty of creating a news media outlet, favouritism in the allocation of state subsidies, and corruption); economic constraints linked to non-state actors (advertisers and commercial partners); as well as economic constraints linked to media owners seeking to promote or defend their business interests.</t>
  </si>
  <si>
    <t>Economic context (SCORE ECO.)</t>
  </si>
  <si>
    <t>SociocContRSF</t>
  </si>
  <si>
    <t>Sociocultural Context</t>
  </si>
  <si>
    <t>This sub-sub-indicator measures: social constraints resulting from denigration and attacks on the press based on such issues as gender, class, ethnicity and religion; as well as cultural constraints, including pressure on journalists to not question certain bastions of power or influence or not cover certain issues because it would run counter to the prevailing culture in the country or territory.</t>
  </si>
  <si>
    <t>Sociocultural context (SCORE SOC.)</t>
  </si>
  <si>
    <t>MedSaf</t>
  </si>
  <si>
    <t>Media Safety</t>
  </si>
  <si>
    <t>This sub-indicator assesses the extent to which there are abuses and harassment against media and against journalists in connection with their work.</t>
  </si>
  <si>
    <t>SafRSF</t>
  </si>
  <si>
    <t>Safety</t>
  </si>
  <si>
    <t>This sub-sub-indicator measures abuses against media and against journalists in connection with their work, emphasing on concerns about journalists' safety. For this purpose, press freedom is defined as the ability to identify, gather and disseminate news and information in accordance with journalistic methods and ethics, without unnecessary risk of: bodily harm (including murder, violence, arrest, detention, enforced disappearance and abduction); psychological or emotional distress that could result from intimidation, coercion, harassment, surveillance, doxing (publication of personal information with malicious intent), degrading or hateful speech, smears and other threats targeting journalists or their loved-ones; as well as professional harm (for example, the loss of one’s job, the confiscation of professional equipment, or the ransacking of installations).</t>
  </si>
  <si>
    <t>Safety (SCORE SECU.)</t>
  </si>
  <si>
    <t>AbsHarrasJournVDEM</t>
  </si>
  <si>
    <t>Absence of Harassment of Journalists</t>
  </si>
  <si>
    <t xml:space="preserve">This sub-indicator assesses the extent to which individual journalists are harassed, this includes being threatened with libel, arrested, imprisoned, beaten, or killed by governmental or powerful non-governmental actors while engaged in legitimate journalistic activities. </t>
  </si>
  <si>
    <t>v2meharjrn_osp (Harassment of journalists)</t>
  </si>
  <si>
    <t>DigRights</t>
  </si>
  <si>
    <t>Digital Freedom</t>
  </si>
  <si>
    <t>AFIDEP/DSP&amp;V-DEM/V-DEM</t>
  </si>
  <si>
    <t>This indicator assesses the extent to which there are no internet and social media shutdowns, internet users' privacy and data are being protected as well as the extent to which people are free to express themselves online and there is no limited access to online content.</t>
  </si>
  <si>
    <t>UserDataProtVDEM</t>
  </si>
  <si>
    <t>Digital Rights</t>
  </si>
  <si>
    <t>Internet Users' Privacy Protection</t>
  </si>
  <si>
    <t>DSP&amp;V-DEM</t>
  </si>
  <si>
    <t>Digital Society Project &amp; Varieties of Democracy Institute</t>
  </si>
  <si>
    <t>Digital Society Survey</t>
  </si>
  <si>
    <t>This sub-indicator assesses the extent to which there is a legal framework to protect internet users' privacy and their data.</t>
  </si>
  <si>
    <t>v2smprivcon_osp (Privacy protection by law content)</t>
  </si>
  <si>
    <t>https://digitalsocietyproject.org/wp-content/uploads/2024/03/DSP-Codebook-v6.pdf</t>
  </si>
  <si>
    <t>Eritrea, South Sudan</t>
  </si>
  <si>
    <t xml:space="preserve">The data come from a joint source: Digital Society Project (DSP) &amp; V-DEM (Varieties of Democracy). Data have been collected from both the DSP Dataset Version 6 and the V-DEM Dataset Version 14. </t>
  </si>
  <si>
    <t>AbsInternetSocMedShutVDEM</t>
  </si>
  <si>
    <t>Absence of Internet &amp; Social Media Shutdowns</t>
  </si>
  <si>
    <t>This sub-indicator assesses how often the government shuts down domestic access to the internet and access to social media platforms.</t>
  </si>
  <si>
    <t>Bespoke: Government Internet shut down in practice (v2smgovshut), Government social media shut down in practice (v2smgovsm)</t>
  </si>
  <si>
    <t>Bespoke index (raw data scores are a combination of selected variables from the V-Dem dataset) calculated for MIF by V-DEM for the purpose of the IIAG. Raw data scores for this variable are made available via the IIAG Excel and online data portal. It consists of the V-DEM variables: Government Internet shut down in practice, Government social media shut down in practice</t>
  </si>
  <si>
    <t>UnresAccContVDEM</t>
  </si>
  <si>
    <t>Unrestricted Access to Internet Content</t>
  </si>
  <si>
    <t>This sub-indicator assesses how frequently the government censors political information (text, audio, images, or video) on the internet by ﬁltering (blocking access to certain websites).</t>
  </si>
  <si>
    <t>v2smgovfilprc_osp (Government Internet filtering in practice)</t>
  </si>
  <si>
    <t>FreeExpDigSp</t>
  </si>
  <si>
    <t>Freedom of Expression in the Digital Space</t>
  </si>
  <si>
    <t xml:space="preserve">This sub-indicator assesses the extent to which there is no online censorship and there is no risk of being arrested when posting political content online. </t>
  </si>
  <si>
    <t>AbsOnlCensGI</t>
  </si>
  <si>
    <t>Absence of Online Censorship</t>
  </si>
  <si>
    <t>This sub-sub-indicator assesses the extent to which the government does not prevent the publication of information by citizens online, and the extent to which the government does not promote citizens' self-censorship (e.g. with arrests, threats to prosecute, interrogations, etc.).</t>
  </si>
  <si>
    <t xml:space="preserve">In practice, there is no prior government restraint (pre-publication censoring) of citizen-created content online and the government doesn't promote the self-censorship of citizens online (in blogs, social media, etc). </t>
  </si>
  <si>
    <t>AbsArrPolContOnVDEM</t>
  </si>
  <si>
    <t>Absence of Arrests for Political Content Online</t>
  </si>
  <si>
    <t>This sub-sub-indicator assesses the likelihood of a citizen being arrested when posting political content online that would run counter to the government and its policies.</t>
  </si>
  <si>
    <t>v2smarrest_osp (Arrests for political content)</t>
  </si>
  <si>
    <t>ProtAgDiscrim</t>
  </si>
  <si>
    <t>Protection against Discrimination</t>
  </si>
  <si>
    <t xml:space="preserve">This indicator assesses the extent to which there are official functioning mechanisms to protect citizens against ethnic, religious and sexual orientation-based discrimination. </t>
  </si>
  <si>
    <t>ProtcEthnDiscrimGI</t>
  </si>
  <si>
    <t>Protection against Ethnic Discrimination</t>
  </si>
  <si>
    <t>This sub-indicator assesses the extent to which there is an official mechanism that receives and investigates complaints of ethnic discrimination (whether investigations are undertaken independently or in collaboration with other entities). It also assesses the extent to which, in the last year, the mechanism has been proactive and implemented programs designed to reduce/combat ethnic discrimination (such as conducting sensitisation campaigns), and the mechanism is accessible to most members of minority ethnic groups.</t>
  </si>
  <si>
    <t>In practice, the government protects ethnic minorities from discrimination</t>
  </si>
  <si>
    <t>ProtcReligDiscrimGI</t>
  </si>
  <si>
    <t>Protection against Religious Discrimination</t>
  </si>
  <si>
    <t>This sub-indicator assesses the extent to which there is an official mechanism that receives and investigates complaints of religious discrimination (whether investigations are undertaken independently or in collaboration with other entities). It also assesses the extent to which in the last year, the mechanism has been proactive and implemented programs designed to reduce/combat religious discrimination (such as conducting sensitisation campaigns), and the mechanism is accessible to most members of minority religious groups.</t>
  </si>
  <si>
    <t>In practice, the government protects citizens from discrimination based on religious beliefs</t>
  </si>
  <si>
    <t>ProtcSexDiscrimGI</t>
  </si>
  <si>
    <t>Protection against Sexual Orientation Discrimination</t>
  </si>
  <si>
    <t>This sub-indicator assesses the extent to which there is an official mechanism that receives and investigates complaints of LGBT discrimination (whether investigations are undertaken independently or in collaboration with other entities). It also assesses the extent to which in the last year, the mechanism has been proactive and implemented programs designed to reduce/combat LGBT discrimination (such as conducting sensitisation campaigns), and the mechanism is accessible to most members of LGBT groups.</t>
  </si>
  <si>
    <t>In practice, the government protects LGBT citizens from discrimination based on sexual orientation</t>
  </si>
  <si>
    <t>PubFreeSpAFR</t>
  </si>
  <si>
    <t>Public Perception of Freedom of Speech</t>
  </si>
  <si>
    <t>This sub-indicator assesses the extent to which citizens feel free to say what they think.</t>
  </si>
  <si>
    <t xml:space="preserve">Freedom to say what you think </t>
  </si>
  <si>
    <t>INCLEQ</t>
  </si>
  <si>
    <t>INCLUSION &amp; EQUALITY</t>
  </si>
  <si>
    <t>This sub-category assesses equality in the distribution of political power, in political representation, in civil liberties, in socioeconomic opportunity, and in access to public services across different strata of society, as well as the public perception of inclusion and equality.</t>
  </si>
  <si>
    <t>EqPolPow</t>
  </si>
  <si>
    <t xml:space="preserve">Equal Political Power </t>
  </si>
  <si>
    <t>This indicator assesses the extent to which political power is distributed by socioeconomic position, sexual orientation, social group and urban-rural location.</t>
  </si>
  <si>
    <t>PolPowIncLvlVDEM</t>
  </si>
  <si>
    <t>Political Power by Income Level</t>
  </si>
  <si>
    <r>
      <t>This sub-indicator assesses the extent to which political power is distributed according to socioeconomic position. This sub-indicator is concerned not with the degree of social inequality but rather with the political e</t>
    </r>
    <r>
      <rPr>
        <sz val="10"/>
        <color rgb="FF000000"/>
        <rFont val="Courier New"/>
        <family val="3"/>
      </rPr>
      <t>ﬀ</t>
    </r>
    <r>
      <rPr>
        <sz val="10"/>
        <color rgb="FF000000"/>
        <rFont val="Bliss 2 Light"/>
        <family val="3"/>
      </rPr>
      <t>ects of this inequality. Speciﬁcally, the extent to which wealth and income translates into political power.</t>
    </r>
  </si>
  <si>
    <t>v2pepwrses_osp (Power distributed by socioeconomic position)</t>
  </si>
  <si>
    <t>PolPowSexOrVDEM</t>
  </si>
  <si>
    <t>Political Power by Sexual Orientation</t>
  </si>
  <si>
    <t>This sub-indicator assesses the extent to which political power is distributed according to sexual orientation.</t>
  </si>
  <si>
    <t>v2pepwrort_osp (Power distributed by sexual orientation)</t>
  </si>
  <si>
    <t xml:space="preserve">The variable is not strictly ordinal. The highest possible value at source of 4 indicates that LGBTs enjoy somewhat more political power than heterosexuals by virtue of greater wealth,
education, and high level of organization and mobilization.  A value of 3 indicates that LGBTs have about the same political power as heterosexuals. </t>
  </si>
  <si>
    <t>PolPowSocGrVDEM</t>
  </si>
  <si>
    <t>Political Power by Social Group</t>
  </si>
  <si>
    <r>
      <t>This sub-indicator assesses the extent to which political power is distributed according to social groups. A social group is di</t>
    </r>
    <r>
      <rPr>
        <sz val="10"/>
        <color rgb="FF000000"/>
        <rFont val="Courier New"/>
        <family val="3"/>
      </rPr>
      <t>ﬀ</t>
    </r>
    <r>
      <rPr>
        <sz val="10"/>
        <color rgb="FF000000"/>
        <rFont val="Bliss 2 Light"/>
        <family val="3"/>
      </rPr>
      <t>erentiated within a country by caste, ethnicity, language, race, region, religion, or some combination thereof.</t>
    </r>
  </si>
  <si>
    <t>v2pepwrsoc_osp (Power distributed by social group)</t>
  </si>
  <si>
    <t>PolPowUrbRurVDEM</t>
  </si>
  <si>
    <t>Political Power by Urban-Rural Location</t>
  </si>
  <si>
    <t>This sub-indicator assesses the extent to which political power distributed according to urban-rural location. Urban areas are deﬁned as an area that meets the following conditions: population density exceeds a threshold of 150 persons per square kilometre, there is access to a sizeable settlement of 50,000 people or more within some reasonable travel time, for example 60 minutes by road.</t>
  </si>
  <si>
    <t>v2pepwrgeo_osp (Power distributed by urban-rural location)</t>
  </si>
  <si>
    <t xml:space="preserve">The variable is not strictly ordinal. The highest possible value at source of 5 would indicate that people living in rural areas have much more political power but those living in urban areas have some areas of influence. </t>
  </si>
  <si>
    <t>EqPolRep</t>
  </si>
  <si>
    <t>Equal Political Representation</t>
  </si>
  <si>
    <t>FH/IPU/V-DEM</t>
  </si>
  <si>
    <t>This indicator assesses the extent to which various segments of the population have political rights and electoral opportunities and to which extent disadvantaged social groups and youth (of or under 40y/o) are represented in the legislature.</t>
  </si>
  <si>
    <t>EqPolRightsOppFH</t>
  </si>
  <si>
    <t>Equal Political Rights &amp; Opportunities</t>
  </si>
  <si>
    <t xml:space="preserve">This sub-indicator assesses to the extent to which various segments of the population (including ethnic, racial, religious, gender, LGBT+, and other relevant groups) have full political rights and electoral opportunities. </t>
  </si>
  <si>
    <t>Do various segments of the population (including ethnic, racial, religious, gender, LGBT+, and other relevant groups) have full political rights and electoral opportunities?</t>
  </si>
  <si>
    <t>EqRepLeg</t>
  </si>
  <si>
    <t>Equal Representation in the Legislature</t>
  </si>
  <si>
    <t>IPU/V-DEM</t>
  </si>
  <si>
    <t>This sub-indicator assesses the extent to which disadvantaged social groups and youth (of or under 40y/o) are represented in the legislature.</t>
  </si>
  <si>
    <t>RepDisSocGrParlVDEM</t>
  </si>
  <si>
    <t>Representation of Disadvantaged Social Groups in Parliament</t>
  </si>
  <si>
    <t xml:space="preserve">This sub-sub-indicator assesses the extent to which all disadvantaged social groups in the country are well represented in the national legislature. Disadvantage refers to socioeconomic disadvantage, in order to be considered disadvantaged members of a social group must have an average income that is signiﬁcantly below the median national income. </t>
  </si>
  <si>
    <t>v2lgdsadlo_osp (Representation of disadvantaged social groups)</t>
  </si>
  <si>
    <t>The variable is not strictly ordinal. The highest possible value at source of 4 indicates that disadvantaged social groups are over-represented relative to their proportion of the general population</t>
  </si>
  <si>
    <t>RepYouthParlIPU</t>
  </si>
  <si>
    <t>Representation of Youth in Parliament</t>
  </si>
  <si>
    <t>IPU</t>
  </si>
  <si>
    <t>Inter-Parliamentary Union</t>
  </si>
  <si>
    <t>Parline: Global data on national parliaments</t>
  </si>
  <si>
    <t xml:space="preserve">This sub-sub-indicator measures the share of members of parliament 40 years of age or younger in single or lower chambers of national parliaments, based on age of parliamentarians at the start of the new legislature. </t>
  </si>
  <si>
    <t>2014-2021</t>
  </si>
  <si>
    <t>Younger 40 percentage, unicameral/Lower chamber</t>
  </si>
  <si>
    <t>https://data.ipu.org/age-brackets/</t>
  </si>
  <si>
    <t>Burkina Faso, Central African Republic, Comoros, Eritrea, Guinea-Bissau, Liberia, Malawi, Mauritania, South Sudan, Sudan</t>
  </si>
  <si>
    <t>Burundi</t>
  </si>
  <si>
    <t xml:space="preserve">Since no new data was available for years after 2021, MIF used the same dataset received directly from source for the 2022 IIAG on 2 August 2022. </t>
  </si>
  <si>
    <t xml:space="preserve">The variable is coded for unicameral systems and lower chambers only. Data years assigned depending on the month a new parliament summons/dissolves. For a parliament summoning in a given year between 1st January and 30th June the respective percentage of MPs of or under 40 years of age has been assigned to the corresponding data year. For a parliament summoning between 1st July and 31st December in a given year the respective percentage of MPs of or under 40 years of age has been assigned to the following data year. The percentage is assigned to all years of the legislation period from the summoning of the parliament until the dissolvement of the parliament, unless source has provided an updated data point within the electoral period.  
For a parliament dissolved between 1st January and 30th June in a given year, the respective percentage of MPs of or under 40 years of age from the legislation period would be assigned to the previous data year. For a parliament dissolved between 1st July and 31st December, the respective percentage of MPs of or under 40 years of age from the electoral period would be assigned to the corresponding data year. </t>
  </si>
  <si>
    <t>EquCivLib</t>
  </si>
  <si>
    <t>Equal Civil Liberties</t>
  </si>
  <si>
    <t>This indicator assesses the extent to which the enjoyment of civil liberties is equal by region, income level, social group, political group and urban-rural location.</t>
  </si>
  <si>
    <t>EqCivLibRegVDEM</t>
  </si>
  <si>
    <t>Equality in Civil Liberties by Region</t>
  </si>
  <si>
    <r>
      <t>This sub-indicator estimates the percentage of the total population of the country that lives in the areas where government o</t>
    </r>
    <r>
      <rPr>
        <sz val="10"/>
        <color rgb="FF000000"/>
        <rFont val="Courier New"/>
        <family val="3"/>
      </rPr>
      <t>ﬃ</t>
    </r>
    <r>
      <rPr>
        <sz val="10"/>
        <color rgb="FF000000"/>
        <rFont val="Bliss 2 Light"/>
        <family val="3"/>
      </rPr>
      <t>cials’ respect for civil liberties is signiﬁcantly weaker than the country average.</t>
    </r>
  </si>
  <si>
    <t>v2clsnlpct (Weaker civil liberties population)</t>
  </si>
  <si>
    <t>EqCivLibIncLvlVDEM</t>
  </si>
  <si>
    <t>Equality in Civil Liberties by Income Level</t>
  </si>
  <si>
    <t xml:space="preserve">This sub-indicator assesses the extent to which poor people enjoy the same level of civil liberties as rich people do. This question speciﬁes the extent to which the level of civil liberties is generally the same across socioeconomic groups so that people with a low social status are not treated worse than people with high social status. Here, civil liberties are understood to include access to justice, private property rights, freedom of movement, and freedom from forced labour. </t>
  </si>
  <si>
    <t>v2clacjust_osp (Social class equality in respect for civil liberty)</t>
  </si>
  <si>
    <t>EqCivLibSocGrVDEM</t>
  </si>
  <si>
    <t>Equality in Civil Liberties by Social Group</t>
  </si>
  <si>
    <t>This sub-indicator assesses the extent to which all social groups, as distinguished by language, ethnicity, religion, race, region, or caste, enjoy the same level of civil liberties. Here, civil liberties are understood to include access to justice, private property rights, freedom of movement, and freedom from forced labour.</t>
  </si>
  <si>
    <t>v2clsocgrp_osp (Social group equality in respect for civil liberties)</t>
  </si>
  <si>
    <t>EqCivLibPolGrVDEM</t>
  </si>
  <si>
    <t>Equality in Civil Liberties by Political Group</t>
  </si>
  <si>
    <t>This sub-indicator measures the extent to which members of all political groups enjoy the same level of civil liberties or whether some groups are generally in a more favourable position.</t>
  </si>
  <si>
    <t>v2clpolcl_osp (Political group equality in respect for civil liberties)</t>
  </si>
  <si>
    <t>EqCivLibUrbRurVDEM</t>
  </si>
  <si>
    <t>Equality in Civil Liberties by Urban-Rural Location</t>
  </si>
  <si>
    <t>This sub-indicator assesses the extent to which those who reside in rural areas enjoy same level of civil liberties as those residing in urban areas. This sub-indicator speciﬁes the extent to which the level of civil liberties is generally the same across geographic areas. Urban areas are deﬁned as an area that meets the following conditions: population density exceeds a threshold of 150 persons per square kilometre, there is access to a sizeable settlement of 50,000 people or more within some reasonable travel time, for example 60 minutes by road. Here, civil liberties are understood to include access to justice, private property rights, freedom of movement, and freedom from forced labour.</t>
  </si>
  <si>
    <t>v2clgeocl_osp (Urban-rural location equality in respect for civil liberties)</t>
  </si>
  <si>
    <t xml:space="preserve">The variable is not strictly ordinal. The highest possible value at source of 5 indicates that residents of rural areas enjoy more civil liberties than those in urban areas.   </t>
  </si>
  <si>
    <t>EqSocEconOpp</t>
  </si>
  <si>
    <t>Equal Socioeconomic Opportunity</t>
  </si>
  <si>
    <t>This indicator assesses the extent to which state jobs and business opportunities are equally accessible regardless of income level, social group or urban-rural location, as well as the extent to which there are institutions and programmes dedicated to the socioeconomic integration of youth.</t>
  </si>
  <si>
    <t>SocEcoOppIncLvlVDEM</t>
  </si>
  <si>
    <t>Socioeconomic Opportunity by Income Level</t>
  </si>
  <si>
    <t>This sub-indicator assesses the extent to which state jobs and state business opportunities are equally open to qualified individuals regardless of socioeconomic position.</t>
  </si>
  <si>
    <t>Bespoke: Access to state jobs by socio-economic position (v2peasjsoecon), Access to state business opportunities by socio-economic position (v2peasbecon)</t>
  </si>
  <si>
    <t>Bespoke index (raw data scores are a combination of selected variables from the V-Dem dataset) calculated for MIF by V-DEM for the purpose of the IIAG. Raw data scores for this variable are made available via the IIAG Excel and online data portal. It consists of the V-DEM variables: Access to state jobs by socio-economic position, Access to state business opportunities by socio-economic position</t>
  </si>
  <si>
    <t>SocioEconOppSocGroupVDEM</t>
  </si>
  <si>
    <t>Socioeconomic Opportunity by Social Group</t>
  </si>
  <si>
    <t>This sub-indicator assesses the extent to which state jobs and state business opportunities are equally open to qualified individuals regardless of social group. A social group is diﬀerentiated within a country by caste, ethnicity, language, race, region, religion, or some combination thereof.</t>
  </si>
  <si>
    <t>Bespoke: Access to state jobs by social group (v2peasjsoc), Access to state business opportunities by social group (v2peasbsoc)</t>
  </si>
  <si>
    <t>Bespoke index (raw data scores are a combination of selected variables from the V-Dem dataset) calculated for MIF by V-DEM for the purpose of the IIAG. Raw data scores for this variable are made available via the IIAG Excel and online data portal. It consists of the V-DEM variables: Access to state jobs by social group, Access to state business opportunities by social group</t>
  </si>
  <si>
    <t>SocEcoOppUrbRurVDEM</t>
  </si>
  <si>
    <t>Socioeconomic Opportunity by Urban-Rural Location</t>
  </si>
  <si>
    <t xml:space="preserve">This sub-indicator assesses the extent to which state jobs and state business opportunities are equally open to qualified individuals regardless of their urban-rural location. Urban areas are deﬁned as an area that meets the following conditions: population density exceeds a threshold of 150 persons per square kilometre, there is access to a sizeable settlement of 50,000 people or more within some reasonable travel time, for example 60 minutes by road. </t>
  </si>
  <si>
    <t>Bespoke: Access to state jobs by urban-rural location (v2peasjgeo), Access to state business opportunities by urban-rural location (v2peasbegeo)</t>
  </si>
  <si>
    <t>Bespoke index (raw data scores are a combination of selected variables from the V-Dem dataset) calculated for MIF by V-DEM for the purpose of the IIAG. Raw data scores for this variable are made available via the IIAG Excel and online data portal. It consists of the V-DEM variables: Access to state jobs by urban-rural location, Access to state business opportunities by urban-rural location</t>
  </si>
  <si>
    <t>The raw data for the two underlying variables is not strictly ordinal. The highest possible value at source of 5 indicates a rural bias and that because people live in urban areas, 25% or more of the population lack access to state jobs and state business opportunities.</t>
  </si>
  <si>
    <t>PromSocEconIntYouthGI</t>
  </si>
  <si>
    <t>Promotion of Socioeconomic Integration of Youth</t>
  </si>
  <si>
    <t>This sub-indicator assesses the extent to which there is a department or equivalent mandated to ensure the socioeconomic integration of youth. It also assesses the extent to which in the last year it implemented permanent programs to ensure education, employment and/or housing, and all or most in this population have access to these programs.</t>
  </si>
  <si>
    <t>In practice, there is a government policy/strategy to increase the socio-economic integration of youth</t>
  </si>
  <si>
    <t>EqAccPubServ</t>
  </si>
  <si>
    <t>Equal Access to Public Services</t>
  </si>
  <si>
    <t>This indicator assesses the extent to which access to basic public services is distributed equally by socioeconomic position, social group, political group and urban-rural location.</t>
  </si>
  <si>
    <t>AccPubServIncLvlVDEM</t>
  </si>
  <si>
    <t>Access to Public Services by Income Level</t>
  </si>
  <si>
    <t xml:space="preserve">This sub-indicator assesses the extent to which access to basic public services, such as order and security, primary education, clean water, and healthcare, are distributed equally according to socioeconomic position. This sub-indicator assesses the extent to which the socio-economic position is an important cleavage in society for the distribution of public services. </t>
  </si>
  <si>
    <t>v2peapsecon_osp (Access to public services distributed by socio-economic position)</t>
  </si>
  <si>
    <t>AccpubServSocGroupVDEM</t>
  </si>
  <si>
    <t>Access to Public Services by Social Group</t>
  </si>
  <si>
    <t xml:space="preserve">This sub-indicator assesses the extent to which basic public services, such as order and security, primary education, clean water, and healthcare, are distributed equally across social groups. A social group is diﬀerentiated within a country by caste, ethnicity, language, race, region, religion, or some combination thereof. This sub-indicator assesses the extent to which the social group is an important cleavage in society for the distribution of public services.  </t>
  </si>
  <si>
    <t>v2peapssoc_osp (Access to public services distributed by social group)</t>
  </si>
  <si>
    <t>AccpubServPolGroupVDEM</t>
  </si>
  <si>
    <t>Access to Public Services by Political Group</t>
  </si>
  <si>
    <t>This sub-indicator measures the extent to which access to basic public services such as order and security, primary education, clean water and healthcare is distributed equally across political groups.</t>
  </si>
  <si>
    <t>v2peapspol_osp (Access to public services distributed by political group)</t>
  </si>
  <si>
    <t>AccPubServUrbRurVDEM</t>
  </si>
  <si>
    <t>Access to Public Services by Urban-Rural Location</t>
  </si>
  <si>
    <t xml:space="preserve">This sub-indicator assesses the extent to which access to basic public services, such as order and security, primary education, clean water, and healthcare, are distributed equally across urban and rural areas.  Urban areas are deﬁned as an area that meets the following conditions: population density exceeds a threshold of 150 persons per square kilometre, there is access to a sizeable settlement of 50,000 people or more within some reasonable travel time, for example 60 minutes by road. This sub-indicator assesses the extent to which er the geographic location is an important cleavage in society for the distribution of public services. </t>
  </si>
  <si>
    <t>v2peapsgeo_osp (Access to public services distributed by urban-rural location)</t>
  </si>
  <si>
    <t xml:space="preserve">The variable is not strictly ordinal. The highest possible value at source of 5 indicates a rural bias and that because people live in urban areas, 25% or more of the population lack access to basic public services of good quality.  </t>
  </si>
  <si>
    <t>PubPercIncEq</t>
  </si>
  <si>
    <t>Public Perception of Inclusion &amp; Equality</t>
  </si>
  <si>
    <t>This indicator assesses the extent to which citizens feel their ethnic group is treated fairly by the government as well as the extent to which citizens would dislike having as neighbours people of a different ethnic group, different religion or homosexuals.</t>
  </si>
  <si>
    <t>PercEqTreatEthnGrAFR</t>
  </si>
  <si>
    <t>Perceived Equal Treatment of Ethnic Groups</t>
  </si>
  <si>
    <t>This sub-indicator assesses the extent to which citizens feel their ethnic group is treated fairly by the government.</t>
  </si>
  <si>
    <t xml:space="preserve">Ethnic group treated unfairly </t>
  </si>
  <si>
    <t>Algeria, Burundi, Central African Republic, Chad, Comoros, DR Congo, Djibouti, Egypt, Equatorial Guinea, Eritrea, Guinea-Bissau, Libya, Rwanda, Seychelles, Somalia, South Sudan, Sudan, Tunisia</t>
  </si>
  <si>
    <t>Congo Republic, Mauritania</t>
  </si>
  <si>
    <t>PubAccDiffGr</t>
  </si>
  <si>
    <t>Public Acceptance of Different Groups</t>
  </si>
  <si>
    <t>This sub-indicator assesses the extent to which citizens would dislike having people of a different ethnic group, people of a different religion or homosexuals as neighbours.</t>
  </si>
  <si>
    <t>PubAccDiffEthnGrAFR</t>
  </si>
  <si>
    <t>Public Acceptance of Different Ethnic Groups</t>
  </si>
  <si>
    <t>This sub-sub-indicator assesses the extent to which citizens would dislike having people of a different ethnic group as neighbours.</t>
  </si>
  <si>
    <t>Neighbours: people of different ethnicity</t>
  </si>
  <si>
    <t>higher value is worse</t>
  </si>
  <si>
    <t>Algeria, Burundi, Central African Republic, Chad, Comoros, DR Congo, Djibouti, Egypt, Equatorial Guinea, Eritrea, Guinea-Bissau, Libya, Rwanda, Seychelles, Somalia, South Sudan</t>
  </si>
  <si>
    <t xml:space="preserve">MIF codes this indicator/sub-indicator/sub-sub-indicator as the sum of the two most negative responses to the question as a percentage of all responses. For a comprehensive overview of how Afrobarometer data is used in the IIAG see http://mo.ibrahim.foundation/iiag/methodology/
The total of responses (our denominator) includes “Don’t knows” and “Refused to answer” but excludes “Missings” (usually coded as “-1”) and “Not applicable”/”No contact” (usually coded as “7”). For some questions with a lot of “Not applicable” answers, sample size can be very small after excluding those.
Data years are assigned according to the year in which AFR concluded its fieldwork in the country for the specific round. </t>
  </si>
  <si>
    <t>PubAccDiffReligGrAFR</t>
  </si>
  <si>
    <t>Public Acceptance of Different Religious Groups</t>
  </si>
  <si>
    <t>This sub-sub-indicator assesses the extent to which citizens would dislike having people of a different religion as neighbours.</t>
  </si>
  <si>
    <t>Neighbours: people of different religion</t>
  </si>
  <si>
    <t>PubAccHomAFR</t>
  </si>
  <si>
    <t>Public Acceptance of Homosexuals</t>
  </si>
  <si>
    <t>This sub-sub-indicator assesses the extent to which citizens would dislike having homosexuals as neighbours.</t>
  </si>
  <si>
    <t>Neighbours: homosexuals</t>
  </si>
  <si>
    <t>Algeria, Burundi, Central African Republic, Chad, Comoros, Congo Republic, DR Congo, Djibouti, Egypt, Equatorial Guinea, Eritrea, Guinea-Bissau, Libya, Mauritania, Rwanda, Seychelles, Somalia, South Sudan</t>
  </si>
  <si>
    <t>WOMEQ</t>
  </si>
  <si>
    <t>WOMEN'S EQUALITY</t>
  </si>
  <si>
    <t>This sub-category assesses women’s equality in terms of political power and representation, rights and civil liberties, socioeconomic opportunities and access to public services, the existence of laws on violence against women, as well as the public perception of female leadership.</t>
  </si>
  <si>
    <t>PolPowRepWom</t>
  </si>
  <si>
    <t>Political Power &amp; Representation of Women</t>
  </si>
  <si>
    <t>AFIDEP/IPU/V-DEM</t>
  </si>
  <si>
    <t xml:space="preserve">This indicator assesses the extent to which political power is distributed by gender and measures the proportion of women in the executive, in the legislature and in the highest branch of the judiciary. </t>
  </si>
  <si>
    <t>PolPowWomVDEM</t>
  </si>
  <si>
    <t>Political Power for Women</t>
  </si>
  <si>
    <t>This sub-indicator assesses the extent to which political power is distributed according to gender.</t>
  </si>
  <si>
    <t>v2pepwrgen_osp (Power distributed by gender)</t>
  </si>
  <si>
    <t>WomRepExecIPU</t>
  </si>
  <si>
    <t>Representation of Women in the Executive</t>
  </si>
  <si>
    <t>Women in Politics</t>
  </si>
  <si>
    <t>This sub-indicator measures the proportion of women in ministerial or equivalent positions (including deputy prime ministers) in the government. Prime Ministers/Heads of Government are included when they hold ministerial portfolios. Heads of governmental or public agencies are excluded.</t>
  </si>
  <si>
    <t>2014, 2015, 2017, 2019, 2020, 2021, 2023</t>
  </si>
  <si>
    <t>%W</t>
  </si>
  <si>
    <t>https://www.ipu.org/women-in-politics-2021</t>
  </si>
  <si>
    <t xml:space="preserve">Dataset was shared directly by source with MIF on 29.07.2022. </t>
  </si>
  <si>
    <t>RepWomParlIPU</t>
  </si>
  <si>
    <t>Representation of Women in Parliament</t>
  </si>
  <si>
    <t xml:space="preserve">This sub-indicator measures the proportion of seats held by women in national parliaments defined as the number of seats held by women members in single or lower chambers of national parliaments, expressed as a percentage of all occupied seats. </t>
  </si>
  <si>
    <t>% W, Lower or single House</t>
  </si>
  <si>
    <t>https://data.ipu.org/women-ranking/?date_month=1&amp;date_year=2024, http://archive.ipu.org/wmn-e/classif-arc.htm</t>
  </si>
  <si>
    <t>For each year, data was taken from the file dated 1st of January of the following year.</t>
  </si>
  <si>
    <t>RepWomJudGI</t>
  </si>
  <si>
    <t>Representation of Women in the Judiciary</t>
  </si>
  <si>
    <t>This sub-indicator measures the extent to which the members of the highest branch of the judiciary are women and whether at least a third (33%) of the members of the highest branch of the judiciary are women.</t>
  </si>
  <si>
    <t>In practice, women are significantly represented in the highest branch of the judiciary (Constitutional Court/Supreme Court)</t>
  </si>
  <si>
    <t>EqCivLibWom</t>
  </si>
  <si>
    <t>Rights &amp; Civil Liberties for Women</t>
  </si>
  <si>
    <t>V-DEM/WB</t>
  </si>
  <si>
    <t>This indicator assesses the extent to which women enjoy the same level of civil liberties and property rights as men, are free to participate in civil society organisations and the extent to which women’s civil society organisations are free to operate.</t>
  </si>
  <si>
    <t>EqCivLibWomVDEM</t>
  </si>
  <si>
    <t>Equal Rights &amp; Civil Liberties for Women</t>
  </si>
  <si>
    <t>Women's Equality in Civil Liberties</t>
  </si>
  <si>
    <t>This sub-indicator assesses the extent to which women enjoy the same level of civil liberties as men. Here, civil liberties are understood to include access to justice, private property rights, freedom of movement, and freedom from forced labour.</t>
  </si>
  <si>
    <t>v2clgencl_osp (Gender equality in respect for civil liberties)</t>
  </si>
  <si>
    <t xml:space="preserve">Per definition this measure includes access to justice, private property rights, freedom of movement and freedom from forced labour for women. Access to justice for women, private property rights for women, freedom of movement for women and freedom from forced labour for women are also part of the measures used in the sub-sub-indicator Access to Justice and the sub-indicators Right to Private Property, Absence of Forced Labour and Freedom of Movement in this Index. </t>
  </si>
  <si>
    <t>PartWomCivSocVDEM</t>
  </si>
  <si>
    <t>Participation of Women in Civil Society</t>
  </si>
  <si>
    <t>This sub-indicator assesses the extent to which women are prevented from participating in civil society organizations (CSOs) because of their gender and whether CSOs pursuing women’s interests are prevented from taking part in associational life.</t>
  </si>
  <si>
    <t>v2csgender_osp (CSO women's participation)</t>
  </si>
  <si>
    <t>WomEqPropRightWB</t>
  </si>
  <si>
    <t>Women's Equality in Property Rights</t>
  </si>
  <si>
    <t>Women, Business and the Law</t>
  </si>
  <si>
    <t xml:space="preserve">This sub-indicator assesses the extent to which there are gender differences in property and inheritance law by assessing whether men and women have equal ownership rights to immovable property, sons and daughters have equal rights to inherit assets from their parents, the law grants spouses equal administrative authority over assets during marriage, and the law provides for the valuation of nonmonetary contributions. </t>
  </si>
  <si>
    <t>Assets Score</t>
  </si>
  <si>
    <t>https://wbl.worldbank.org/en/methodology</t>
  </si>
  <si>
    <t>Data from source provided with a year lag. Data from 2024 edition refers to the 2023 IIAG data year, etc.</t>
  </si>
  <si>
    <t>SocioEconOppWom</t>
  </si>
  <si>
    <t>Socioeconomic Opportunity for Women</t>
  </si>
  <si>
    <t>This indicator assesses the extent to which state jobs and business opportunities are equally open regardless of gender and the extent to which women receive equal pay, benefits and treatment as men in the workplace.</t>
  </si>
  <si>
    <t>SocioEconOppWomVDEM</t>
  </si>
  <si>
    <t>Women's Socioeconomic Opportunities</t>
  </si>
  <si>
    <t>This sub-indicator assesses the extent to which state jobs and state business opportunities are equally open to qualified individuals or firms regardless of gender.</t>
  </si>
  <si>
    <t>Bespoke: Access to state jobs by gender (v2peasjgen), Access to state business opportunities by gender (v2peasbgen)</t>
  </si>
  <si>
    <t>Bespoke index (raw data scores are a combination of selected variables from the V-Dem dataset) calculated for MIF by V-DEM for the purpose of the IIAG. Raw data scores for this variable are made available via the IIAG Excel and online data portal. It consists of the V-DEM variables: Access to state jobs by gender, Access to state business opportunities by gender</t>
  </si>
  <si>
    <t>WorkWomEqGI</t>
  </si>
  <si>
    <t>Workplace Equality for Women</t>
  </si>
  <si>
    <t>This sub-indicator assesses the extent to which women receive equal pay and benefits to men for performing the same job, have equal opportunities to be hired or promoted, and are not fired, demoted or in any other way discriminated against as a result of pregnancy.</t>
  </si>
  <si>
    <t>In practice, women have equal access to employment opportunities and benefits in the workplace</t>
  </si>
  <si>
    <t>AccPubServWomVDEM</t>
  </si>
  <si>
    <t>Access to Public Services for Women</t>
  </si>
  <si>
    <t>This indicator assesses the extent to which access to basic public services, such as order and security, primary education, clean water, and healthcare, are distributed equally according to gender. This sub-indicator assesses if gender is an important cleavage in society for the distribution of public services.</t>
  </si>
  <si>
    <t>v2peapsgen_osp (Access to public services distributed by gender)</t>
  </si>
  <si>
    <t>LawsViolenceWomWB</t>
  </si>
  <si>
    <t>Laws on Violence against Women</t>
  </si>
  <si>
    <t>This indicator assesses the extent to which there are laws and regulations on violence against women by assessing whether there is legislation specifically addressing domestic violence, there is legislation on sexual harassment in employment, there are criminal penalties or civil remedies for sexual harassment in employment, whether the law is free of legal provisions that require a married woman to obey her husband, and whether a woman can obtain a judgment of divorce in the same way as a man.</t>
  </si>
  <si>
    <t xml:space="preserve">Is there legislation on sexual harassment in employment?; Are there criminal penalties or civil remedies for sexual harassment in employment?; Is there legislation specifically addressing domestic violence?; Is the law free of legal provisions that require a married woman to obey her husband?; Can a woman obtain a judgment of divorce in the same way as a man? </t>
  </si>
  <si>
    <t xml:space="preserve">Data for this variable was coded by MIF using five binary questions on laws on violence against women coding it "1" if the answer is yes and "0" if the answer is no. The final raw data score for the variable is the sum of the respective answer to the five questions. Data was taken from the dataset Women, Business and the Law Data 1.0 for 1971-2024. The following questions were taken: Is there legislation on sexual harassment in employment?; Are there criminal penalties or civil remedies for sexual harassment in employment?; Is there legislation specifically addressing domestic violence?; Is the law free of legal provisions that require a married woman to obey her husband?; Can a woman obtain a judgment of divorce in the same way as a man? </t>
  </si>
  <si>
    <t>PubPercFemLeadAFR</t>
  </si>
  <si>
    <t>Public Perception of Female Leadership</t>
  </si>
  <si>
    <t>This indicator assesses the extent to which citizens believe women should have the same chance of being elected to political office as men.</t>
  </si>
  <si>
    <t>Men only as leaders vs. women leaders ok/Men only as leaders vs. women leaders</t>
  </si>
  <si>
    <t>Algeria, Angola, Burundi, Congo Republic, Egypt, Ethiopia, Gambia, Mauritania, Seychelles</t>
  </si>
  <si>
    <t>FEO</t>
  </si>
  <si>
    <t>FOUNDATIONS FOR ECONOMIC OPPORTUNITY</t>
  </si>
  <si>
    <r>
      <t xml:space="preserve">This category assesses and is composed of </t>
    </r>
    <r>
      <rPr>
        <b/>
        <i/>
        <sz val="10"/>
        <color rgb="FF000000"/>
        <rFont val="Bliss 2 Light"/>
        <family val="3"/>
      </rPr>
      <t>Public Administration, Business &amp; Labour Environment, Infrastructure and Rural Economy</t>
    </r>
    <r>
      <rPr>
        <b/>
        <sz val="10"/>
        <color rgb="FF000000"/>
        <rFont val="Bliss 2 Light"/>
        <family val="3"/>
      </rPr>
      <t>.</t>
    </r>
  </si>
  <si>
    <t>PUBADMIN</t>
  </si>
  <si>
    <t>PUBLIC ADMINISTRATION</t>
  </si>
  <si>
    <t>This sub-category assesses civil registration, the capacity of the statistical system, effective and professional public administration, taxation capacity and the efficiency of revenue mobilisation, budgetary and financial management, as well as the public perception of easiness to obtain an identity document.</t>
  </si>
  <si>
    <t>CivREg</t>
  </si>
  <si>
    <t>Civil Registration</t>
  </si>
  <si>
    <t>This indicator assesses the extent to which birth and death certificates are available within 30 days free of charge.</t>
  </si>
  <si>
    <t>BirthRegGI</t>
  </si>
  <si>
    <t xml:space="preserve">Birth Registration </t>
  </si>
  <si>
    <t>This sub-indicator assesses to the extent to which citizens can obtain birth certification upon request and both of the following conditions are met: certification is provided within 30 days or less; and certification is provided for no charge.</t>
  </si>
  <si>
    <t>In practice, there is a birth registration system and citizens can obtain certificates</t>
  </si>
  <si>
    <t>DeathRegGI</t>
  </si>
  <si>
    <t xml:space="preserve">Death Registration </t>
  </si>
  <si>
    <t>This sub-indicator assesses the extent to which citizens can obtain death certification for deceased family members upon request and both of the following conditions are met: certification is provided within 30 days or less; and certification is provided for no charge.</t>
  </si>
  <si>
    <t>In practice, there is a death registration system and citizens can obtain certificates for deceased family members</t>
  </si>
  <si>
    <t>CapStatSys</t>
  </si>
  <si>
    <t>Capacity of the Statistical System</t>
  </si>
  <si>
    <t>AFIDEP/ODW/V-DEM/WB</t>
  </si>
  <si>
    <t>This indicator assesses the capacity of a country's statistical system and measures the extent of statistical data coverage and openness, the independence of national statistics offices as well as government's cyber security capacity.</t>
  </si>
  <si>
    <t>StaCapWB</t>
  </si>
  <si>
    <t xml:space="preserve">Statistical Capacity </t>
  </si>
  <si>
    <t>Statistical Capacity Indicators</t>
  </si>
  <si>
    <t>This sub-indicator assesses the capacity of a country's national statistical system based on a diagnostic framework thereby assessing three dimensions: methodology, source data, periodicity and timeliness.</t>
  </si>
  <si>
    <t>2016-2022</t>
  </si>
  <si>
    <t>Statistical Capacity Indicator (Overall average)</t>
  </si>
  <si>
    <t>https://datatopics.worldbank.org/statisticalcapacity/SCIdashboard.aspx</t>
  </si>
  <si>
    <t>Comoros, Eritrea</t>
  </si>
  <si>
    <t>Central African Republic</t>
  </si>
  <si>
    <t>StatDataCovOp</t>
  </si>
  <si>
    <t>Statistical Data Coverage &amp; Openness</t>
  </si>
  <si>
    <t>ODW</t>
  </si>
  <si>
    <t xml:space="preserve">This sub-indicator measures the extent of statistical data coverage and the openness of statistical data maintained by the national statistical offices (NSOs). </t>
  </si>
  <si>
    <t>StatDataCovODW</t>
  </si>
  <si>
    <t>Statistical Data Coverage</t>
  </si>
  <si>
    <t>Open Data Watch</t>
  </si>
  <si>
    <t>Open Data Inventory</t>
  </si>
  <si>
    <t>This sub-sub-indicator measures the availability of important statistical indicators in 22 categories of social, economic and financial, and environmental statistics on websites maintained by national statistical offices (NSOs) and any official government website that is accessible from the NSO site. Data coverage scores take into account whether key indicators are available and appropriately disaggregated over time and for geographic sub-divisions.</t>
  </si>
  <si>
    <t>2016, 2017, 2018, 2020, 2022</t>
  </si>
  <si>
    <t>Coverage subscore</t>
  </si>
  <si>
    <t>https://docs.google.com/document/d/1q1h0_z0TUGayO-qN9o3ablmo_qVdSGgPgU_Ptq5xrdU/edit#heading=h.autagm1dag62</t>
  </si>
  <si>
    <t>2015 data year is excluded from IIAG time series because source confirmed that it is not comparable with following years. For this reason, Open Data Inventory data included in the 2024 IIAG dataset only has data points from source for five years: 2016, 2017, 2018, 2020 and 2022.</t>
  </si>
  <si>
    <t>StatDataOpODW</t>
  </si>
  <si>
    <t>Statistical Data Openness</t>
  </si>
  <si>
    <t>This sub-sub-indicator measures the openness of important statistical indicators in 22 categories of social, economic and financial, and environmental statistics on websites maintained by national statistical offices (NSOs). Data Openness scores are based on data availability in machine-readable formats (excluding e.g.  PDF &amp; picture formats), data in non-proprietary formats such as CSV, bulk download, API download and user-selectable download option, detailed metadata availability, data availability with open terms of use.</t>
  </si>
  <si>
    <t>Openness subscore</t>
  </si>
  <si>
    <t>IndNatStatOffGI</t>
  </si>
  <si>
    <t>Independence of the National Statistics Office</t>
  </si>
  <si>
    <t>This sub-indicator assesses the extent to which the Office of National Statistics (ONS) has autonomy to collect data of its choosing. It also assesses the extent to which the ONS has autonomy to publish data without prior clearance or approval from any branch of the government, and funding is sufficient to collect and publish data of its choosing.</t>
  </si>
  <si>
    <t>2016-2023</t>
  </si>
  <si>
    <t>In practice, the independence of the Office of National Statistics (ONS) is guaranteed</t>
  </si>
  <si>
    <t>Data for this variable was shared directly by source with MIF. Different score to variable of same name available on website. This variable was redesigned by GI for the Africa Integrity Indicators (AII) Round 5. While previously the indicator captured the state’s capacity to collect and publish statistics on infrastructure, it now evaluates the independence of national statistic agencies. As the data was redesigned for AII Round 5, data are only available from the 2016 IIAG data year onwards.</t>
  </si>
  <si>
    <t>GovCyberSecCapVDEM</t>
  </si>
  <si>
    <t>Government Cyber Security Capacity</t>
  </si>
  <si>
    <t>This sub-indicator assesses the extent to which the government has sufficiently technologically skilled staff and resources to mitigate harm from cyber-security threats.</t>
  </si>
  <si>
    <t>v2smgovcapsec_osp (Government Cyber Security Capacity)</t>
  </si>
  <si>
    <t>EffAdmin</t>
  </si>
  <si>
    <t>Effective Administration</t>
  </si>
  <si>
    <t>AfDB/AFIDEP/V-DEM/WB</t>
  </si>
  <si>
    <t xml:space="preserve">This indicator assesses the extent to which there is an effective and professional public administration. </t>
  </si>
  <si>
    <t>ProPubPers</t>
  </si>
  <si>
    <t>Professionalism of Public Personnel</t>
  </si>
  <si>
    <t xml:space="preserve">This sub-indicator assesses the extent to which appointments to the civil service are merit-based and the extent to which public officials perform their duties rigorously and impartially. </t>
  </si>
  <si>
    <t>AdminAppDecVDEM</t>
  </si>
  <si>
    <t xml:space="preserve">Professionalism of Public Personnel </t>
  </si>
  <si>
    <t>Administrative Appointments</t>
  </si>
  <si>
    <t>This sub-sub-indicator assesses the extent to which appointment decisions in the state administration are based on personal and political connections, as opposed to skills and merit.</t>
  </si>
  <si>
    <t>v2stcritrecadm_osp (Criteria for appointment decisions in the state administration)</t>
  </si>
  <si>
    <t>RigImpAdminVDEM</t>
  </si>
  <si>
    <t>Rigorous and Impartial Administration</t>
  </si>
  <si>
    <t>This sub-sub-indicator assesses whether public officials are rigorous and impartial in the performance of their duties. This question focuses on the extent to which public officials generally abide by the
law and treat like cases alike, or conversely, the extent to which public administration is
characterized by arbitrariness and biases (i.e., nepotism, cronyism, or discrimination).</t>
  </si>
  <si>
    <t>v2clrspct_osp (Rigorous and impartial public administration)</t>
  </si>
  <si>
    <t>MeritCivServGI</t>
  </si>
  <si>
    <t>Meritocratic Civil Service</t>
  </si>
  <si>
    <t>This sub-sub-indicator assesses the extent to which appointments to the civil service are made on a merit-based system, individuals appointed are free of conflicts of interest due to personal loyalties, family connections, political party affiliations or other biases, and performance evaluations are based on standard benchmarks.</t>
  </si>
  <si>
    <t>In practice, civil servants are appointed and evaluated according to professional criteria</t>
  </si>
  <si>
    <t>QualPubAdmin</t>
  </si>
  <si>
    <t>Quality of Public Administration</t>
  </si>
  <si>
    <t>AfDB/WB</t>
  </si>
  <si>
    <t>This sub-indicator assesses the extent to which civilian central government staff are structured to design and implement government policy and deliver services effectively.</t>
  </si>
  <si>
    <t>QualPubAdminAfDB</t>
  </si>
  <si>
    <t>AfDB</t>
  </si>
  <si>
    <t>African Development Bank</t>
  </si>
  <si>
    <t>AfDB Country Policy and Institutional Assessment (CPIA)</t>
  </si>
  <si>
    <t>This sub-sub-indicator assesses the extent to which civilian central government staffs (including teachers, health workers, and police) are structured to design and implement government policy and deliver services effectively. Civilian central government staffs include the central executive together with all other ministries and administrative departments, including autonomous agencies. It excludes the armed forces, state-owned enterprises, and sub-national government. The key dimensions for assessment are: i) Policy coordination and responsiveness; ii) Service delivery and operational efficiency; iii) Merit and ethics; and iv) Pay adequacy and management of the wage bill.</t>
  </si>
  <si>
    <t>2014-2016, 2018, 2020, 2021, 2023</t>
  </si>
  <si>
    <t>1-6</t>
  </si>
  <si>
    <t>https://cpia.afdb.org/documents/public/cpia2018-questionnaire-en.pdf</t>
  </si>
  <si>
    <t xml:space="preserve">The AfDB CPIA is now produced biennially (latest iteration available in the 2024 IIAG is the 2023 edition). According to the AfDB, only the data for the countries eligible for the African Development Fund (ADF) are publicly disclosed. With each new release of the AfDB CPIA, the data series for those countries that have graduated from the ADF funds are excluded and, as a consequence, those countries will also not be covered by the AfDB CPIA variables in the 2024 IIAG dataset. </t>
  </si>
  <si>
    <t>QualPubAdminWB</t>
  </si>
  <si>
    <t>WB Country Policy and Institutional Assessment (CPIA)</t>
  </si>
  <si>
    <t xml:space="preserve">This sub-sub-indicator assesses the functioning of the core administration—defined as the civilian central government and subnational governments, excluding health and education personnel and police—in three areas: managing its own operations, ensuring quality in policy implementation and regulatory management, and coordinating the larger public sector human resources management regime outside the core administration. </t>
  </si>
  <si>
    <t>CPIA quality of public administration rating (1=low to 6=high)</t>
  </si>
  <si>
    <t>https://openknowledge.worldbank.org/bitstream/handle/10986/34325/WB_CPIA_Report_Aug2020.pdf</t>
  </si>
  <si>
    <t>Algeria, Angola, Botswana, Egypt, Equatorial Guinea, Eswatini, Gabon, Libya, Mauritius, Morocco, Namibia, Seychelles, South Africa, Tunisia</t>
  </si>
  <si>
    <t>TaxRevMob</t>
  </si>
  <si>
    <t>Tax &amp; Revenue Mobilisation</t>
  </si>
  <si>
    <t>AfDB/UNU-WIDER/WB</t>
  </si>
  <si>
    <t>This indicator measures a country’s taxation capacity and assesses the efficiency of its revenue mobilisation.</t>
  </si>
  <si>
    <t>TaxCapUNUWIDER</t>
  </si>
  <si>
    <t>Taxation Capacity</t>
  </si>
  <si>
    <t>UNU-WIDER</t>
  </si>
  <si>
    <t>United Nations University - World Institute for Development Economics Research</t>
  </si>
  <si>
    <t>Government Revenue Dataset</t>
  </si>
  <si>
    <t>This sub-indicator measures total non-resource tax revenue, excluding social contributions.</t>
  </si>
  <si>
    <t>Non-resource tax excluding social contributions</t>
  </si>
  <si>
    <t>https://www.wider.unu.edu/database/resources-grd</t>
  </si>
  <si>
    <t>Central African Republic, Côte d'Ivoire, Eritrea, Libya, Nigeria, Somalia</t>
  </si>
  <si>
    <t>Mozambique</t>
  </si>
  <si>
    <t>EffRevMob</t>
  </si>
  <si>
    <t>Efficiency of Revenue Mobilisation</t>
  </si>
  <si>
    <t>This sub-indicator assesses the extent to which there is a tax structure that exists on paper, but also actual revenue collection.</t>
  </si>
  <si>
    <t>EffRevMobAfDB</t>
  </si>
  <si>
    <t>This sub-sub-indicator assesses the extent to which there is a tax structure that exists on paper, but also actual revenue collection. It is composed of two areas: (i) tax policy and (ii) tax administration.</t>
  </si>
  <si>
    <t>Efficiency of Revenue Mobilization</t>
  </si>
  <si>
    <t>EffRevMobWB</t>
  </si>
  <si>
    <t xml:space="preserve">Efficiency of Revenue Mobilisation </t>
  </si>
  <si>
    <t>This sub-sub-indicator assesses  tax policy and tax administration and assesses the overall pattern of revenue mobilization, including not only the tax structure, but also revenues from all sources as they are collected</t>
  </si>
  <si>
    <t>CPIA efficiency of revenue mobilization rating (1=low to 6=high)</t>
  </si>
  <si>
    <t>BudgMgmt</t>
  </si>
  <si>
    <t xml:space="preserve">Budgetary &amp; Financial Management </t>
  </si>
  <si>
    <t>This indicator assesses the extent to which there is a comprehensive and credible budget linked to policy priorities, effective financial management systems, and timely and accurate accounting and fiscal reporting.</t>
  </si>
  <si>
    <t>BudgFinmgmtAfDB</t>
  </si>
  <si>
    <t>Budgetary &amp; Financial Management</t>
  </si>
  <si>
    <t>This sub-indicator assesses the extent to which there is: (i) a comprehensive and credible budget, linked to policy priorities, which in turn are linked to a poverty reduction strategy, (ii) effective financial management systems to ensure that incurred expenditures are consistent with the approved budget, that budgeted revenues are achieved, and that aggregate fiscal control is maintained, (iii) timely and accurate fiscal reporting, including timely and audited public accounts and effective arrangements for follow up and (iv) clear and balanced assignment of expenditures and revenues to each level of government.</t>
  </si>
  <si>
    <t>Quality of Budgetary and Financial Management</t>
  </si>
  <si>
    <t>BudgFinmgmtWB</t>
  </si>
  <si>
    <t>This sub-indicator assesses  the extent to which a comprehensive and credible budget is linked to priorities, financial management systems ensure that the budget is implemented as intended, and accounting and fiscal reporting are timely and accurate.</t>
  </si>
  <si>
    <t>CPIA quality of budgetary and financial management rating (1=low to 6=high)</t>
  </si>
  <si>
    <t>PubPercPubAdmin</t>
  </si>
  <si>
    <t>Public Perception of Easiness to Obtain an Identity Document</t>
  </si>
  <si>
    <t xml:space="preserve">This indicator assesses citizens' perceptions of how easy it is to obtain the identity documents they needed. </t>
  </si>
  <si>
    <t>Difficulty to obtain identity document</t>
  </si>
  <si>
    <t>BUSENV</t>
  </si>
  <si>
    <t>BUSINESS &amp; LABOUR ENVIRONMENT</t>
  </si>
  <si>
    <t>This sub-category assesses regional integration, economic diversification, business and competition regulations, access to banking services, labour-employer relations, secure employment opportunities, as well as the public perception of economic opportunities.</t>
  </si>
  <si>
    <t>RegInteg</t>
  </si>
  <si>
    <t>Regional Integration</t>
  </si>
  <si>
    <t>AfDB/AfDB&amp;AUC/UNCTAD</t>
  </si>
  <si>
    <t xml:space="preserve">This indicator assesses the extent of government's development of regional integration, the extent of a country's intra-African trade as well as the visa openness towards other African countries. </t>
  </si>
  <si>
    <t>GovDevContIntAfDB</t>
  </si>
  <si>
    <t>Government Development of Regional Integration</t>
  </si>
  <si>
    <t xml:space="preserve">This sub-indicator assesses the extent to which government’s actions and efforts (i) promote free movement of persons and labour and easy right of establishment; and (ii) contribute to regional financial integration. </t>
  </si>
  <si>
    <t>RegTradeIntUNCTAD</t>
  </si>
  <si>
    <t>Regional Trade Integration</t>
  </si>
  <si>
    <t>UNCTAD</t>
  </si>
  <si>
    <t>United Nations Conference on Trade and Development</t>
  </si>
  <si>
    <t>UNCTADstat</t>
  </si>
  <si>
    <t>Merchandise trade matrix, annual</t>
  </si>
  <si>
    <t xml:space="preserve">This sub-indicator measures the share of a country's total merchandise trade (exports+imports) with African countries as a share of a country's total trade with the world. </t>
  </si>
  <si>
    <t>Merchandise trade matrix, annual, US dollars at current prices</t>
  </si>
  <si>
    <t>https://unctadstat.unctad.org/datacentre/reportInfo/US.TradeMatrix</t>
  </si>
  <si>
    <t>This variable was calculated by MIF using import and export data from UNCTADstat's merchandise trade matrix. The following formula was used to calculate the share (%) of intra-African trade: (imports from African countries + exports to African countries)/(imports from the world + exports to the world)*100</t>
  </si>
  <si>
    <t>RegTravIntAFDBAUC</t>
  </si>
  <si>
    <t>Regional Travel Integration</t>
  </si>
  <si>
    <t>AfDB&amp;AUC</t>
  </si>
  <si>
    <t>African Development Bank &amp; African Union Commission</t>
  </si>
  <si>
    <t>Africa Visa Openness Index (AVOI)</t>
  </si>
  <si>
    <t>This sub-indicator assesses the ease with which visitors from other African countries are authorised to enter the African country in question. A more visa-open country has a liberal or relaxed visa policy for visitors, meaning that visitors either do not need a visa to enter its territory or can obtain a visa upon arrival. A more visa-restrictive country requires visitors to obtain a visa before they travel. Visitors might obtain the visa from an embassy, a consulate, or another source.</t>
  </si>
  <si>
    <t>Visa openness score</t>
  </si>
  <si>
    <t xml:space="preserve">https://www.visaopenness.org/methodology/ </t>
  </si>
  <si>
    <t>For the 2024 iteration of the IIAG, data from source was available in PDF format on source's website.</t>
  </si>
  <si>
    <t>EconDiv</t>
  </si>
  <si>
    <t>Economic Diversification</t>
  </si>
  <si>
    <t>OEC/UNCTAD</t>
  </si>
  <si>
    <t xml:space="preserve">This indicator assesses the extent to which there is a diversification of exports and the extent of a country's economic complexity. </t>
  </si>
  <si>
    <t>DivExpUNCTAD</t>
  </si>
  <si>
    <t>Diversification of Exports</t>
  </si>
  <si>
    <t>Merchandise: Product concentration and diversification indices of exports and imports, annual</t>
  </si>
  <si>
    <t>This sub-indicator assesses to which degree exports and imports of a country are concentrated on a few products rather than being distributed in a more homogenous manner among several products.</t>
  </si>
  <si>
    <t>Concentration Index</t>
  </si>
  <si>
    <t>https://unctadstat.unctad.org/datacentre/reportInfo/US.ConcentDiversIndices</t>
  </si>
  <si>
    <t>EconCompOEC</t>
  </si>
  <si>
    <t>Economic Complexity</t>
  </si>
  <si>
    <t>OEC</t>
  </si>
  <si>
    <t>Observatory for Economic Complexity</t>
  </si>
  <si>
    <t>Economic Complexity Index</t>
  </si>
  <si>
    <t>This sub-indicator measures the relative knowledge intensity of an economy, based on trade data.</t>
  </si>
  <si>
    <t>Country (ECI) Rankings, ECI Trade, 6 Digit, HS96 (1998-2022)</t>
  </si>
  <si>
    <t>Indefinite</t>
  </si>
  <si>
    <t xml:space="preserve">https://oec.world/en/resources/methods </t>
  </si>
  <si>
    <t>Burundi, Cabo Verde, Central African Republic, Comoros, Djibouti, Equatorial Guinea, Eritrea, Eswatini, Gambia, Guinea-Bissau, Lesotho, Malawi, Mauritius, São Tomé and Príncipe, Seychelles, Somalia</t>
  </si>
  <si>
    <t>Liberia, Rwanda</t>
  </si>
  <si>
    <t>BusCompReg</t>
  </si>
  <si>
    <t>Business &amp; Competition Regulations</t>
  </si>
  <si>
    <t>AfDB/BS/WB</t>
  </si>
  <si>
    <t xml:space="preserve">This indicator assesses the extent to which a country’s regulatory environment helps private businesses and the extent to which safeguards are enforced to protect competition. </t>
  </si>
  <si>
    <t>BusRegEnv</t>
  </si>
  <si>
    <t>Business Regulatory Environment</t>
  </si>
  <si>
    <t>This sub-indicator assesses the extent to which the legal, regulatory, and policy environments help or hinder private businesses in investing, creating jobs and becoming more productive.</t>
  </si>
  <si>
    <t>BusRegEnvAfDB</t>
  </si>
  <si>
    <t>This sub-sub-indicator assesses the extent of direct regulations of business activity and regulation of goods and factor markets along (i) regulations affecting entry, exit, and competition, (ii) regulations of ongoing business operations and (iii) regulations of factor markets (labour and land).</t>
  </si>
  <si>
    <t>https://cpia.afdb.org/documents/public/cpia2015-questionnaire-en.pdf</t>
  </si>
  <si>
    <t>BusRegEnvWB</t>
  </si>
  <si>
    <t>This sub-sub-indicator assesses the legal, regulatory, and policy environment for private businesses. It has three subcomponents that measure the efficacy of regulations affecting (i) entry, exit, and competition; (ii) ongoing business operations; and (iii) factor markets (labor and land).</t>
  </si>
  <si>
    <t>CPIA business regulatory environment rating (1=low to 6=high)</t>
  </si>
  <si>
    <t>CompPolBS</t>
  </si>
  <si>
    <t>Competition Policy</t>
  </si>
  <si>
    <t>This sub-indicator assesses the extent to which safeguards exist to protect competition, and the extent to which they are enforced. It assesses the extent to which antitrust or competition laws exist and are enforced against monopolisation (e.g. mergers, dominant market positions, concentration) and cartelistic conduct (e.g. collusion, price fixing, predatory pricing).</t>
  </si>
  <si>
    <t>AccBankServ</t>
  </si>
  <si>
    <t>Access to Banking Services</t>
  </si>
  <si>
    <t>IMF/WB</t>
  </si>
  <si>
    <t>This indicator measures the extent to which the population has access to bank branches, ATMs and financial institution accounts as well as the usage of mobile money services.</t>
  </si>
  <si>
    <t>AccBankInstIMF</t>
  </si>
  <si>
    <t>Access to Banks</t>
  </si>
  <si>
    <t>IMF</t>
  </si>
  <si>
    <t>International Monetary Fund</t>
  </si>
  <si>
    <t>Financial Development Index Database</t>
  </si>
  <si>
    <t xml:space="preserve">This sub-indicator measures bank branches and ATMs per 100,000 adults. </t>
  </si>
  <si>
    <t xml:space="preserve">Financial Institutions Access </t>
  </si>
  <si>
    <t>https://www.imf.org/external/pubs/ft/wp/2016/wp1605.pdf</t>
  </si>
  <si>
    <t>Somalia, Zimbabwe</t>
  </si>
  <si>
    <t>AccFinInstAccWB</t>
  </si>
  <si>
    <t>Access to Financial Institution Accounts</t>
  </si>
  <si>
    <t>Global Findex Database</t>
  </si>
  <si>
    <t>This sub-indicator measures the percentage of citizens aged 15 years or older who have an account at a bank or another type of financial instituions, such as a credit union, a microfinance institution, a cooperative or the post office (if applicable), or has a debit card.</t>
  </si>
  <si>
    <t>2014, 2017, 2021, 2022</t>
  </si>
  <si>
    <t>Financial institution account (% age 15+)</t>
  </si>
  <si>
    <t>https://thedocs.worldbank.org/en/doc/fe026d04da1eb78f5ce8bb5e1529d60b-0430062023/original/Findex2021-22-Methodology.pdf</t>
  </si>
  <si>
    <t>Cabo Verde, Djibouti, Equatorial Guinea, Eritrea, Guinea-Bissau, São Tomé and Príncipe, Seychelles</t>
  </si>
  <si>
    <t>Angola, Burundi, Central African Republic, Comoros, Eswatini, Libya, Somalia, Sudan</t>
  </si>
  <si>
    <t>AccMobMonAccWB</t>
  </si>
  <si>
    <t>Access to Mobile Money Accounts</t>
  </si>
  <si>
    <t>This sub-indicator measures the percentage of citizens aged 15 years or older who have used mobile money services to pay bills or to send or receive money in the past year.</t>
  </si>
  <si>
    <t>Mobile money account (% age 15+)</t>
  </si>
  <si>
    <t>Algeria, Angola, Cabo Verde, Central African Republic, Djibouti, Equatorial Guinea, Eritrea, Guinea-Bissau, Libya, São Tomé and Príncipe, Seychelles, Sudan</t>
  </si>
  <si>
    <t>Burundi, Comoros, Eswatini, Gambia, Somalia, South Sudan</t>
  </si>
  <si>
    <t>AccFinProdIMF</t>
  </si>
  <si>
    <t>Access to Financial Products</t>
  </si>
  <si>
    <t xml:space="preserve">The sub-indicator measures the percentage of market capitalisation outside of the top 10 largest companies to proxy access to stock markets and the number of financial and non-financial corporate issuers on the domestic and external debt market per 100,000 adults. </t>
  </si>
  <si>
    <t>Financial Markets Access</t>
  </si>
  <si>
    <t>LabRel</t>
  </si>
  <si>
    <t>Labour Relations</t>
  </si>
  <si>
    <t>AFIDEP/ITUC/WEF</t>
  </si>
  <si>
    <t xml:space="preserve">This indicator assesses the extent to which labour-employer relations are generally cooperative, countries' compliance with collective labour rights, as well as the extent to which workers are free to organise into trade unions. </t>
  </si>
  <si>
    <t>CoopLabEmpRelWEF</t>
  </si>
  <si>
    <t>Cooperation in Labour-Employer Relations</t>
  </si>
  <si>
    <t xml:space="preserve">This sub-indicator assesses the extent to which labour-employer relations are generally cooperative. </t>
  </si>
  <si>
    <t>Cooperation in labor-employer relations</t>
  </si>
  <si>
    <t>FreeTradUnGI</t>
  </si>
  <si>
    <t>Freedom of Trade Unions</t>
  </si>
  <si>
    <t>This sub-indicator assesses the extent to which workers organise into trade unions regardless of political ideology, religion or objectives, and trade union organisers have widely understood rights and are free from intimidation or violence.</t>
  </si>
  <si>
    <t>In practice, workers are not restricted from organizing themselves through trade unions</t>
  </si>
  <si>
    <t>FundRightsWorkITUC</t>
  </si>
  <si>
    <t>Fundamental Rights at Work</t>
  </si>
  <si>
    <t>ITUC</t>
  </si>
  <si>
    <t>International Trade Union Confederation</t>
  </si>
  <si>
    <t>ITUC Global Rights Index</t>
  </si>
  <si>
    <t>This sub-indicator measures countries' compliance with collective labour rights, in particular the right of freedom of association, the right to collective bargaining and the right to strike.</t>
  </si>
  <si>
    <t>https://www.ituc-csi.org/the-global-rights-index-explained#:~:text=The%20methodology%20is%20grounded%20in,rights%20by%20indicating%20relevant%20details.</t>
  </si>
  <si>
    <t>Cabo Verde, Comoros, Equatorial Guinea, Gambia, São Tomé and Príncipe, Seychelles</t>
  </si>
  <si>
    <t>Guinea-Bissau</t>
  </si>
  <si>
    <t>The source assigns a rating of 5+ to the worst category (No guarantee of rights due to the breakdown of the rule of law). This rating was replaced by MIF by assigning a score of 6 to ensure a mathematical differentiation between source categories 5 and 5+.</t>
  </si>
  <si>
    <t>SecEmplOpp</t>
  </si>
  <si>
    <t>Secure Employment Opportunities</t>
  </si>
  <si>
    <t>ILO/WB</t>
  </si>
  <si>
    <t>This indicator measures the extent to which employed persons are not living in poverty and are not in vulnerable employment.</t>
  </si>
  <si>
    <t>AbsWorkPovILO</t>
  </si>
  <si>
    <t>Absence of Working Poverty</t>
  </si>
  <si>
    <t>ILO</t>
  </si>
  <si>
    <t>International Labour Organization</t>
  </si>
  <si>
    <t>ILOSTAT</t>
  </si>
  <si>
    <t>This sub-indicator measures the percentage of employed persons living in poverty in spite of being employed. Poverty is defined using the international poverty line of US$1.90 per day in purchasing power parity (PPP).</t>
  </si>
  <si>
    <t>SDG indicator 1.1.1 - Working poverty rate (percentage of employed living below US$1.90 PPP) (%), Sex:Total, Age (Youth, adults): 15+</t>
  </si>
  <si>
    <t>https://www.ilo.org/shinyapps/bulkexplorer13/</t>
  </si>
  <si>
    <t>Djibouti, São Tomé and Príncipe, Seychelles, South Sudan</t>
  </si>
  <si>
    <t>AbsVulEmpWB</t>
  </si>
  <si>
    <t>Absence of Vulnerable Employment</t>
  </si>
  <si>
    <t>World Development Indicators</t>
  </si>
  <si>
    <t>This sub-indicator estimates the share of vulnerable employment, measured as contributing family workers and own-account workers as a percentage of total employment.</t>
  </si>
  <si>
    <t>Vulnerable employment, total (% of total employment) (modelled ILO estimate)</t>
  </si>
  <si>
    <t>https://datatopics.worldbank.org/world-development-indicators/sources-and-methods.html</t>
  </si>
  <si>
    <t>Seychelles</t>
  </si>
  <si>
    <t>SatEO</t>
  </si>
  <si>
    <t>Public Perception of Economic Opportunities</t>
  </si>
  <si>
    <t>This indicator assesses the extent to which citizens feel the government is doing well at creating jobs as well as citizens' perceptions of the country's present economic condition.</t>
  </si>
  <si>
    <t>SatEmpCrAFR</t>
  </si>
  <si>
    <t>Satisfaction with Employment Creation</t>
  </si>
  <si>
    <t>This sub-indicator assesses extent to which citizens feel the government is doing well at creating jobs.</t>
  </si>
  <si>
    <t>Handling creating jobs</t>
  </si>
  <si>
    <t>SatCountPresEcConAFR</t>
  </si>
  <si>
    <t>Satisfaction with Country's Present Economic Condition</t>
  </si>
  <si>
    <t xml:space="preserve">This sub-indicator assesses citizens' perceptions of the country's present economic condition. </t>
  </si>
  <si>
    <t>Country’s present economic condition</t>
  </si>
  <si>
    <t>INFR</t>
  </si>
  <si>
    <t>INFRASTRUCTURE</t>
  </si>
  <si>
    <t>This sub-category assesses a country’s transport, postal and shipping network, access to energy, access to mobile phones, computers and the internet, as well as the public perception of infrastructure.</t>
  </si>
  <si>
    <t>TranspNet</t>
  </si>
  <si>
    <t>Transport Network</t>
  </si>
  <si>
    <t>AfDB/WEF</t>
  </si>
  <si>
    <t>This indicator assesses the quality, coverage and efficiency of a country’s transport network including road, rail and air infrastructure.</t>
  </si>
  <si>
    <t>RoadInfAFDB</t>
  </si>
  <si>
    <t>Road Infrastructure</t>
  </si>
  <si>
    <t>Africa Infrastructure Development Index</t>
  </si>
  <si>
    <t xml:space="preserve">This sub-indicator measures the extent of the total road network in km (per km2 of exploitable land area) and the total paved roads (km per 10,000 inhabitants) in a country. </t>
  </si>
  <si>
    <t>Transport Composite Index</t>
  </si>
  <si>
    <t>https://www.afdb.org/en/documents/economic-brief-africa-infrastructure-development-index-aidi-2020-july-2020</t>
  </si>
  <si>
    <t>A dataset which contained data up to 2023 data year (compared to website with data available only up to 2022) was shared directly by source with MIF on  30 July 2024.</t>
  </si>
  <si>
    <t>RailInfWEF</t>
  </si>
  <si>
    <t>Rail Infrastructure</t>
  </si>
  <si>
    <t>This sub-indicator assesses the extent to which train services are efficient, taking into account frequency, punctuality, speed and price.</t>
  </si>
  <si>
    <t>Efficiency of train services</t>
  </si>
  <si>
    <t>Central African Republic, Comoros, Congo Republic, Djibouti, Equatorial Guinea, Eritrea, Guinea-Bissau, Libya, Niger, São Tomé and Príncipe, Somalia, South Sudan, Sudan, Togo</t>
  </si>
  <si>
    <t>AirInfWEF</t>
  </si>
  <si>
    <t>Air Infrastructure</t>
  </si>
  <si>
    <t xml:space="preserve">This sub-indicator assesses the extent to which airports are of quality, both in extensiveness and condition. </t>
  </si>
  <si>
    <t>Quality of air transport Infrastructure</t>
  </si>
  <si>
    <t>AccEnergy</t>
  </si>
  <si>
    <t>Access to Energy</t>
  </si>
  <si>
    <t>WB/WHO</t>
  </si>
  <si>
    <t xml:space="preserve">This indicator measures the extent to which a country’s population has access to electricity and clean cooking fuels. </t>
  </si>
  <si>
    <t>AccElectrIEA</t>
  </si>
  <si>
    <t>Access to Electricity</t>
  </si>
  <si>
    <t>This sub-indicator measures the percentage of the population with access to electricity.</t>
  </si>
  <si>
    <t>Access to electricity (% of population)</t>
  </si>
  <si>
    <t>AccClCookWHO</t>
  </si>
  <si>
    <t>Access to Clean Cooking</t>
  </si>
  <si>
    <t>This sub-indicator estimates the proportion of the population with primary reliance on clean fuels and technology and is calculated as the number of people using clean fuels and technologies for cooking, heating and lighting divided by total population reporting that any cooking, heating or lighting, expressed as percentage. 'Clean' is defined by the emission rate targets and specific fuel recommendations (i.e. against unprocessed coal and kerosene) included in the normative guidance WHO guidelines for indoor air quality: household fuel combustion.</t>
  </si>
  <si>
    <t>Proportion of population with primary reliance on clean fuels and technologies for cooking (%)</t>
  </si>
  <si>
    <t>https://www.who.int/data/gho/data/indicators/indicator-details/GHO/gho-phe-primary-reliance-on-clean-fuels-and-technologies-proportion</t>
  </si>
  <si>
    <t>MobComm</t>
  </si>
  <si>
    <t>Mobile Communications</t>
  </si>
  <si>
    <t>ITU</t>
  </si>
  <si>
    <t xml:space="preserve">This indicator measures the extent to which mobile phones and mobile internet are accessible and affordable.  </t>
  </si>
  <si>
    <t>MobPhonSubITU</t>
  </si>
  <si>
    <t>Mobile Phone Subscribers</t>
  </si>
  <si>
    <t>International Telecommunication Union</t>
  </si>
  <si>
    <t>ITU DataHub</t>
  </si>
  <si>
    <t>This sub-indicator measures the number of subscriptions to a public mobile-telephone service that provide access to the public switched telephone network (PSTN) using cellular technology. It includes the number of postpaid subscriptions and the number of active prepaid accounts, divided by population and multiplied by 100.</t>
  </si>
  <si>
    <t>Mobile-cellular subscriptions per 100 people</t>
  </si>
  <si>
    <t>https://datahub.itu.int/indicators/</t>
  </si>
  <si>
    <t>AccMobIntITU</t>
  </si>
  <si>
    <t>Access to Mobile Internet</t>
  </si>
  <si>
    <t>This sub-indicator measures the percentage of inhabitants that are within range of at least a 3G mobile-cellular signal, irrespective of whether or not they are subscribers.</t>
  </si>
  <si>
    <t>Population coverage by mobile network technology, at least 3G</t>
  </si>
  <si>
    <t>CostMobIntITU</t>
  </si>
  <si>
    <t>Cost of Mobile Internet</t>
  </si>
  <si>
    <t>This sub-indicator measures the cost ($PPP) of the cheapest mobile broadband plan providing at least 2 GB of monthly data using at least 3G technology (definition since 2021).</t>
  </si>
  <si>
    <t>Data-only mobile broadband basket, PPP$</t>
  </si>
  <si>
    <t>Data for this variable is only strictly comparable for 2021, 2022 and 2023 due to a change in ITU's methodology for price data collection in 2021. While combined to a single indicator by ITU, source definitions of this indicator have changed: from 2014 to 2017, the basket is composed of the cheapest post-paid, computer-based plan for a USB/dongle providing at least 1 GB of monthly data using at least 3G technology; from 2018 to 2020, the basket refers to the cheapest mobile broadband plan providing at least 1.5 GB of monthly data using at least 3G technology; from 2021, the basket refers of the cheapest mobile broadband plan providing at least 2 GB of monthly data using at least 3G technology.</t>
  </si>
  <si>
    <t>DigAcc</t>
  </si>
  <si>
    <t>Internet &amp; Computers</t>
  </si>
  <si>
    <t>ITU/Cable/WB</t>
  </si>
  <si>
    <t xml:space="preserve">This indicator measures the share of households with a computer and internet access, as well as broadband internet pricing, internet speed and internet security. </t>
  </si>
  <si>
    <t>HousCompITU</t>
  </si>
  <si>
    <t>Households with Computers</t>
  </si>
  <si>
    <t>This sub-indicator measures the proportion of households that have a computer. A computer refers to a desktop computer, a laptop (portable) computer or a tablet (or similar handheld computer).</t>
  </si>
  <si>
    <t>Households with a computer</t>
  </si>
  <si>
    <t>Namibia</t>
  </si>
  <si>
    <t>Sudan</t>
  </si>
  <si>
    <t>While in previous IIAG iterations this variable met the IIAG variable inclusion criteria (data must be available for a minimum of 33 African countries with two years’ worth of data and the latest data point from source must be no more than three years old), only 6 African countries meet them now. Due to the importance/uniqueness of this indicator in the IIAG and the expected availability of data in the future, MIF has decided to make an exception and keep this variable.</t>
  </si>
  <si>
    <t>HousINtAccITU</t>
  </si>
  <si>
    <t>Households with Internet Access</t>
  </si>
  <si>
    <t>This sub-indicator measures the proportion of households with Internet access at home. Access can be via a fixed or mobile network. If one member of the household has a mobile phone with connection to the Internet and makes it available for all members, then it should be considered that the household has access to the Internet.</t>
  </si>
  <si>
    <t>Households with Internet access at home</t>
  </si>
  <si>
    <t>IntSpeedITU</t>
  </si>
  <si>
    <t>Internet Bandwidth Usage</t>
  </si>
  <si>
    <t>This sub-indicator measures the total used capacity of international internet bandwidth per internet user.</t>
  </si>
  <si>
    <t>International bandwidth usage per Internet user</t>
  </si>
  <si>
    <t>CostBroadIntCable</t>
  </si>
  <si>
    <t>Cost of Broadband Internet</t>
  </si>
  <si>
    <t>Cable</t>
  </si>
  <si>
    <t>Global Broadband Pricing League Table</t>
  </si>
  <si>
    <t>This sub-indicator estimates the broadband pricing in 223 countriesand  reveals vast global disparities in the cost of getting online.</t>
  </si>
  <si>
    <t>Global Broadband Pricing</t>
  </si>
  <si>
    <t>0-Indefinite</t>
  </si>
  <si>
    <t>https://www.cable.co.uk/broadband/pricing/worldwide-comparison/</t>
  </si>
  <si>
    <t>Central African Republic, Chad, Malawi, South Sudan</t>
  </si>
  <si>
    <t>Congo Republic, Gambia, Guinea, Guinea-Bissau</t>
  </si>
  <si>
    <t>IntSecWB</t>
  </si>
  <si>
    <t>Internet Security</t>
  </si>
  <si>
    <t xml:space="preserve">This sub-indicator measures the number of distinct, publicly trusted TLS/SSL certificates found in the Netcraft Secure Server Survey per 1 million people. </t>
  </si>
  <si>
    <t>2014-2020</t>
  </si>
  <si>
    <t>Secure Internet servers (per 1 million people)</t>
  </si>
  <si>
    <t>0-1,000,000</t>
  </si>
  <si>
    <t>http://datatopics.worldbank.org/world-development-indicators/sources-and-methods.html</t>
  </si>
  <si>
    <t>ShipPostFac</t>
  </si>
  <si>
    <t>Shipping &amp; Postal Network</t>
  </si>
  <si>
    <t>UNCTAD/UPU</t>
  </si>
  <si>
    <t xml:space="preserve">This indicator assesses a country’s integration level into global shipping liner networks as well as its performance in postal development. </t>
  </si>
  <si>
    <t>SeaServUNCTAD</t>
  </si>
  <si>
    <t>Seaport Services</t>
  </si>
  <si>
    <t>Liner shipping connectivity index, quarterly</t>
  </si>
  <si>
    <t>This sub-indicator assesses the extent of a country's integration level into global shipping liner networks, using six components: i) the number of scheduled ships calls per week in the country; ii) deployed annual capacity in Twenty-Foot-equivalent Units (TEU): total deployed capacity offered at the country; iii) the number of regular liner shipping services from and to the country; iv) the number of liner shipping companies that provide services from and to the country; v) the average size in TEU of the ships deployed by the scheduled service with the largest average vessel size; vi) the number of the other countries that are connected to the country through direct liner shipping services.</t>
  </si>
  <si>
    <t>Liner shipping connectivity index, quarterly, Index (Average Q1 2023 = 100)</t>
  </si>
  <si>
    <t>https://unctadstat.unctad.org/datacentre/dataviewer/metadata/dimension/US.LSCI/indicator</t>
  </si>
  <si>
    <t>Botswana, Burkina Faso, Burundi, Central African Republic, Chad, Eswatini, Ethiopia, Lesotho, Malawi, Mali, Niger, Rwanda, South Sudan, Uganda, Zambia, Zimbabwe</t>
  </si>
  <si>
    <t xml:space="preserve">To arrive at yearly scores, MIF calculated unweighted averages of the quarterly scores for each year. </t>
  </si>
  <si>
    <t>PostDevUPU</t>
  </si>
  <si>
    <t>Postal Development</t>
  </si>
  <si>
    <t>UPU</t>
  </si>
  <si>
    <t>Universal Postal Union</t>
  </si>
  <si>
    <t>Integrated Index for Postal Development (2IPD)</t>
  </si>
  <si>
    <t xml:space="preserve">This sub-indicator assesses a country's performance in postal development. Postal development assesses the performance of postal operators along the lines of i) reliability, ii) reach, iii) relevance and iv) resilience. Reliability reflects the performance in terms of speed and predictability of delivery across all key segments of physical postal services (letter post, parcel post and express); reach synthesises global connectivity by evaluating the breadth and depth of the postal operators' international network, measured by the number of partner networks and the volumes of international exchanges; relevance measures the intensity of demand for the full portfolio of postal services relative to the best performers in each category of postal activity, taking into account elements such as the number of international transactions and the number of post offices; resilience indicates the level of diversification of revenue streams as well as the capacity to innovate and deliver inclusive postal services. </t>
  </si>
  <si>
    <t>2016, 2017, 2019, 2020, 2021, 2022, 2023</t>
  </si>
  <si>
    <t>Total Score</t>
  </si>
  <si>
    <t>https://www.upu.int/en/Universal-Postal-Union/Activities/Research-Publications/Integrated-Index-for-Postal-Development#:~:text=The%20UPU's%20Integrated%20Index%20for,168%20countries%20covered%20in%202021.</t>
  </si>
  <si>
    <t>Guinea-Bissau, Somalia, South Sudan</t>
  </si>
  <si>
    <t xml:space="preserve">Based on information provided in UPU reports for the Integrated Index for Postal Development (2IPD), it was deemed that 2023 scores can be found in the Postal Development Report 2023, 2022 scores can be found in the Postal Development Report 2022, 2021 scores can be found in the Postal Development Report 2021, 2020 scores can be found in the Postal Development Report 2020, 2019 scores can be found in the Postal Development Report 2019, 2017 scores can be found in the Postal Development Report 2018, and 2016 scores can be found in the 2016 results file. </t>
  </si>
  <si>
    <t>SatInfr</t>
  </si>
  <si>
    <t>Public Perception of Infrastructure</t>
  </si>
  <si>
    <t>This indicator assesses the extent to which citizens are satisfied with how the government is doing at maintaining roads and bridges and at providing a reliable supply of electricity.</t>
  </si>
  <si>
    <t>SatRoadBridgeMaintAFR</t>
  </si>
  <si>
    <t>Satisfaction with Road &amp; Bridge Maintenance</t>
  </si>
  <si>
    <t>This sub-indicator assesses the extent to which citizens feel the government is doing well at maintaining roads and bridges.</t>
  </si>
  <si>
    <t>Handling maintaning roads and bridges</t>
  </si>
  <si>
    <t>SatElectrSupAFR</t>
  </si>
  <si>
    <t>Satisfaction with Electricity Supply</t>
  </si>
  <si>
    <t>This sub-indicator assesses the extent to which citizens feel the government is doing well at providing a reliable supply of electricity.</t>
  </si>
  <si>
    <t>Handling providing a reliable supply of electricity</t>
  </si>
  <si>
    <t>1 observation for Algeria in Round 6 wrongly coded MOZ23 is excluded</t>
  </si>
  <si>
    <t>RURAL</t>
  </si>
  <si>
    <t>RURAL ECONOMY</t>
  </si>
  <si>
    <t>This sub-category assesses access to land, water and markets for rural people, the existence of government support for the rural economy, as well as the extent to which rural people can organise freely and have representation and power in policy-making processes.</t>
  </si>
  <si>
    <t>RurLandWatAcc</t>
  </si>
  <si>
    <t>Rural Land &amp; Water Access</t>
  </si>
  <si>
    <t>IFAD</t>
  </si>
  <si>
    <t>This indicator assesses the extent to which rural people have access to land and water.</t>
  </si>
  <si>
    <t>RurAccLandIFAD</t>
  </si>
  <si>
    <t>Rural Access to Land</t>
  </si>
  <si>
    <t>International Fund for Agricultural Development</t>
  </si>
  <si>
    <t>Rural Sector Performance Assessment (RSPA)</t>
  </si>
  <si>
    <t>This sub-indicator assesses the extent to which access to land is afforded to rural people via the policy framework, which is key to their capacity to undergo rural transformation.</t>
  </si>
  <si>
    <t>2018, 2021</t>
  </si>
  <si>
    <t xml:space="preserve">  06/09/2019 and 03/03/2022</t>
  </si>
  <si>
    <t xml:space="preserve">Access to land </t>
  </si>
  <si>
    <t>https://www.ifad.org/documents/38714170/41133079/Annex_A.pdf/9e33d7c7-306d-2445-aa44-86555eaaf5f5</t>
  </si>
  <si>
    <t>Algeria, Botswana, Equatorial Guinea, Gabon, Libya, Mauritius, Namibia, Seychelles, South Africa</t>
  </si>
  <si>
    <t xml:space="preserve">IFAD revised the structure and methodology of the Rural Sector Performance Assessment (RSPA) in 2018. The second iteration of the RSPA with this structure and methodology was published in 2021. Data for both iterations are not publicly available and were shared directly by source with MIF. </t>
  </si>
  <si>
    <t>RurAccWaterIFAD</t>
  </si>
  <si>
    <t>Rural Access to Water</t>
  </si>
  <si>
    <t>This sub-indicator assesses the extent to which access to both surface and ground water is afforded to rural people via the policy framework.</t>
  </si>
  <si>
    <t>Access to water</t>
  </si>
  <si>
    <t>Algeria, Botswana, Cabo Verde, Comoros, Equatorial Guinea, Eritrea, Gabon, Guinea-Bissau, Libya, Mauritius, Namibia, São Tomé and Príncipe, Seychelles, Somalia, South Africa, South Sudan</t>
  </si>
  <si>
    <t>IFAD revised the structure and methodology of the Rural Sector Performance Assessment (RSPA) in 2018. The second iteration of the RSPA with this structure and methodology was published in 2021. Data for both iterations are not publicly available and were shared directly by source with MIF.</t>
  </si>
  <si>
    <t>RurMarkAccIFAD</t>
  </si>
  <si>
    <t xml:space="preserve">Rural Market Access </t>
  </si>
  <si>
    <t>This indicator assesses the extent to which existing agricultural input markets and produce markets are reliably providing value for money to smallholders for inputs and the highest proportion of the retail price for produce.</t>
  </si>
  <si>
    <t xml:space="preserve">Access to agricultural input and produce markets </t>
  </si>
  <si>
    <t>RurEcoSupp</t>
  </si>
  <si>
    <t>Rural Economy Support</t>
  </si>
  <si>
    <t>This indicator assesses the extent to which government strategies foster rural development and investment as well as the extent to which policy and legal frameworks create an enabling environment for the provision of rural financial services and provide access to public or private extension services for smallholder farmers.</t>
  </si>
  <si>
    <t>RurDevInv</t>
  </si>
  <si>
    <t>Rural Development &amp; Investment</t>
  </si>
  <si>
    <t xml:space="preserve">This sub-indicator assesses the extent to which government prioritises strategies for and investment in the rural poor and is actively promoting the development of a robust private sector in rural areas. </t>
  </si>
  <si>
    <t>FramRurDevIFAD</t>
  </si>
  <si>
    <t>Framework for Rural Development</t>
  </si>
  <si>
    <t>This sub-sub-indicator assesses the extent to which the government prioritises strategies for and investment in the rural poor, including smallholder farmers, landless peoples and other rural poor.</t>
  </si>
  <si>
    <t>Policies and framework for rural development and rural poverty alleviation</t>
  </si>
  <si>
    <t>InvClimRurBusIFAD</t>
  </si>
  <si>
    <t>Investment Climate for Rural Businesses</t>
  </si>
  <si>
    <t>This sub-sub-indicator assesses the extent to which the government is actively promoting the development of a robust private sector in rural areas through the provision of an appropriate policy and legal framework, and the subsequent extent to which SMEs or rural businesses are able to register, establish and grow their business.</t>
  </si>
  <si>
    <t>Investment climate for rural business</t>
  </si>
  <si>
    <t>AccRurFinServIFAD</t>
  </si>
  <si>
    <t>Rural Financial Services</t>
  </si>
  <si>
    <t>This sub-indicator assesses the extent to which the policy and legal framework creates an enabling environment for the provision of inclusive rural financial services.</t>
  </si>
  <si>
    <t>Access to and use of rural financial services</t>
  </si>
  <si>
    <t>AccAgrExtServIFAD</t>
  </si>
  <si>
    <t>Agricultural Extension Services</t>
  </si>
  <si>
    <t>This sub-indicator assesses the extent to which the policy framework adequately provides opportunities for smallholder farmers to access public or private extension services.</t>
  </si>
  <si>
    <t>Access to extension services</t>
  </si>
  <si>
    <t>RurRepPart</t>
  </si>
  <si>
    <t>Rural Representation &amp; Participation</t>
  </si>
  <si>
    <t xml:space="preserve">This indicator assesses the extent to which rural people can organise into autonomous groups and have representation and power in policy-making processes. </t>
  </si>
  <si>
    <t>FramRurOrgIFAD</t>
  </si>
  <si>
    <t>Freedom of Rural Organisations</t>
  </si>
  <si>
    <t>This sub-indicator assesses the extent to which rural people can organize into autonomous groups.</t>
  </si>
  <si>
    <t>Legal frameworks for and autonomy of rural people's organizations</t>
  </si>
  <si>
    <t>RepInflRurOrgIFAD</t>
  </si>
  <si>
    <t>Representation &amp; Influence of Rural Organisations</t>
  </si>
  <si>
    <t>This sub-indicator assesses the extent to which poor rural women and men are represented and have power in local and national policy making processes.</t>
  </si>
  <si>
    <t>Representation and influence of ROs and rural people</t>
  </si>
  <si>
    <t>HD</t>
  </si>
  <si>
    <t>HUMAN DEVELOPMENT</t>
  </si>
  <si>
    <r>
      <t xml:space="preserve">This category assesses and is composed of </t>
    </r>
    <r>
      <rPr>
        <b/>
        <i/>
        <sz val="10"/>
        <color rgb="FF000000"/>
        <rFont val="Bliss 2 Light"/>
        <family val="3"/>
      </rPr>
      <t>Health, Education, Social Protection &amp; Welfare and Sustainable Environment</t>
    </r>
    <r>
      <rPr>
        <b/>
        <sz val="10"/>
        <color rgb="FF000000"/>
        <rFont val="Bliss 2 Light"/>
        <family val="3"/>
      </rPr>
      <t>.</t>
    </r>
  </si>
  <si>
    <t>HEALTH</t>
  </si>
  <si>
    <t>This sub-category assesses access to healthcare and to water and sanitation, control of communicable and of non-communicable diseases, child and maternal health, health quality, as well as the public perception of health provision.</t>
  </si>
  <si>
    <t>AccHealth</t>
  </si>
  <si>
    <t>Access to Healthcare</t>
  </si>
  <si>
    <t>V-DEM/WHO</t>
  </si>
  <si>
    <t xml:space="preserve">This indicator estimates how much households spend on health directly out of pocket and assesses the extent to which basic high-quality healthcare is guaranteed to all. </t>
  </si>
  <si>
    <t>HealthAffWHO</t>
  </si>
  <si>
    <t>Healthcare Affordability</t>
  </si>
  <si>
    <t>This sub-indicator estimates how much households in each country are spending on health directly out of pocket. It estimates the share of out of pocket payment of total current health expenditures.</t>
  </si>
  <si>
    <t>Out-of-pocket expenditure as percentage of current health expenditure (CHE) (%)</t>
  </si>
  <si>
    <t>https://www.who.int/data/gho/data/indicators/indicator-details/GHO/out-of-pocket-expenditure-as-percentage-of-current-health-expenditure-(che)-(-)</t>
  </si>
  <si>
    <t>Libya, Somalia</t>
  </si>
  <si>
    <t>HealthEqVDEM</t>
  </si>
  <si>
    <t>Healthcare Equality</t>
  </si>
  <si>
    <t>This sub-indicator assesses the extent to which high quality basic healthcare is guaranteed to all, sufficient to enable them to exercise their basic political rights as adult citizens.</t>
  </si>
  <si>
    <t>v2pehealth_osp (Health equality)</t>
  </si>
  <si>
    <t>AccWaterSanit</t>
  </si>
  <si>
    <t>Access to Water &amp; Sanitation</t>
  </si>
  <si>
    <t>WHO&amp;UNICEF</t>
  </si>
  <si>
    <t xml:space="preserve">This indicator measures the availability of drinking water, of handwashing facilities as well as the use of improved sanitation facilities. </t>
  </si>
  <si>
    <t>AccDrinkWaterWHOUNICEF</t>
  </si>
  <si>
    <t>Access to Drinking Water</t>
  </si>
  <si>
    <t>World Health Organization &amp; United Nations Children's Fund</t>
  </si>
  <si>
    <t>Joint Monitoring Programme for Water Supply and Sanitation Database</t>
  </si>
  <si>
    <t xml:space="preserve">This sub-indicator measures the availability of drinking water from an improved source, provided collection time is not more than 30 minutes for a round trip, including queuing. </t>
  </si>
  <si>
    <t>Drinking Water, National, at least basic (wat_basal_t)</t>
  </si>
  <si>
    <t>https://washdata.org/monitoring/methods</t>
  </si>
  <si>
    <t>The dataset used is Household, World File in the Downloads index page. The data with the highest precision are to be found in the dataset's hidden tabs (in the case of this variable, in the hidden tab named wat).</t>
  </si>
  <si>
    <t>AccHandwashFacWHOUNICEF</t>
  </si>
  <si>
    <t>Access to Handwashing Facilities</t>
  </si>
  <si>
    <t xml:space="preserve">This sub-indicator measures the availability of a handwashing facility on premises with soap and water. </t>
  </si>
  <si>
    <t>Hygiene, National, Basic (hyg_bas_t)</t>
  </si>
  <si>
    <t>Botswana, Cabo Verde, Djibouti, Eritrea, Gabon, Libya, Mauritius, Morocco, Seychelles</t>
  </si>
  <si>
    <t>The dataset used is Household, World File in the Downloads index page. The data with the highest precision are to be found in the dataset's hidden tabs (in the case of this variable, in the hidden tab named hyg).</t>
  </si>
  <si>
    <t>AccSanit</t>
  </si>
  <si>
    <t>Access to Sanitation</t>
  </si>
  <si>
    <t>This sub-indicator measures the use of improved sanitation facilities not shared with other households and the extent to which human faeces are not disposed of in open spaces or with solid waste.</t>
  </si>
  <si>
    <t>AccImpSanitWHOUNICEF</t>
  </si>
  <si>
    <t>Access to Basic Sanitation</t>
  </si>
  <si>
    <t>This sub-sub-indicator measures the use of improved sanitation facilities that are not shared with other households.</t>
  </si>
  <si>
    <t>Sanitation, National, at least basic (san_basal_t)</t>
  </si>
  <si>
    <t>The dataset used is Household, World File in the Downloads index page. The data with the highest precision are to be found in the dataset's hidden tabs (in the case of this variable, in the hidden tab named san).</t>
  </si>
  <si>
    <t>AbsOpDefWHOUNICEF</t>
  </si>
  <si>
    <t>Absence of Open Defecation</t>
  </si>
  <si>
    <t>This sub-sub-indicator measures the extent to which human faeces are disposed of in fields, forests, bushes, open bodies of water, beaches or other open spaces, or with solid waste.</t>
  </si>
  <si>
    <t>Sanitation, National, Open defecation (san_ns_t)</t>
  </si>
  <si>
    <t>ContComDis</t>
  </si>
  <si>
    <t>Control of Communicable Diseases</t>
  </si>
  <si>
    <t>UNAIDS/WHO</t>
  </si>
  <si>
    <t>This indicator measures the absence of malaria and tuberculosis (TB) deaths, the extent to which the HIV-positive population receive antiretroviral treatment and children receive vaccines against measles, diphtheria, tetanus toxoid, pertussis and hepatitis B.</t>
  </si>
  <si>
    <t>AbsMalariaWHO</t>
  </si>
  <si>
    <t>Absence of Malaria</t>
  </si>
  <si>
    <t xml:space="preserve">This sub-indicator measures the estimated number of deaths from malaria in a given year, calculated by MIF per 100,000 of the population using the World Population Prospects by UNDESA. </t>
  </si>
  <si>
    <t>Estimated number of malaria deaths</t>
  </si>
  <si>
    <t>https://www.who.int/data/gho/data/indicators/indicator-details/GHO/estimated-number-of-malaria-deaths</t>
  </si>
  <si>
    <t>Egypt, Lesotho, Libya, Seychelles, Tunisia</t>
  </si>
  <si>
    <t>Mauritius</t>
  </si>
  <si>
    <t>For the 2020 data year, some African countries are assigned at source "No malaria" or "No malaria No malaria" instead of "0".  Those cases have been coded as "0" by MIF.</t>
  </si>
  <si>
    <t>AbsTubercWHO</t>
  </si>
  <si>
    <t>Absence of Tuberculosis</t>
  </si>
  <si>
    <t xml:space="preserve">This sub-indicator measures the estimated number of deaths attributable to tuberculosis (TB) in a given year, expressed as the rate per 100,000 population. </t>
  </si>
  <si>
    <t>Deaths due to tuberculosis among HIV-negative people (per 100 000 population)</t>
  </si>
  <si>
    <t>https://www.who.int/data/gho/data/indicators/indicator-details/GHO/deaths-due-to-tuberculosis-among-hiv-negative-people-(per-100-000-population)</t>
  </si>
  <si>
    <t>ARTProv</t>
  </si>
  <si>
    <t>Antiretroviral Treatment (ART) Provision</t>
  </si>
  <si>
    <t>UNAIDS</t>
  </si>
  <si>
    <t xml:space="preserve">This sub-indicator measures the percentage of HIV-positive adults, children and pregnant women with access to antiretroviral therapy. </t>
  </si>
  <si>
    <t>ARTPRovUNAIDS</t>
  </si>
  <si>
    <t xml:space="preserve">Provision of Antiretroviral Treatment (ART)            </t>
  </si>
  <si>
    <t>Joint United Nations Programme on HIV/AIDS</t>
  </si>
  <si>
    <t>AIDSinfo</t>
  </si>
  <si>
    <t>This sub-sub-indicator measures the percentage and number of adults and children on antiretroviral therapy among all adults and children living with HIV at the end of a given reporting period.</t>
  </si>
  <si>
    <t>O-2nd 90- Among people living with HIV- the percent on ART</t>
  </si>
  <si>
    <t>https://aidsinfo.unaids.org/</t>
  </si>
  <si>
    <t>Benin, Cameroon, Central African Republic, Equatorial Guinea, São Tomé and Príncipe, Seychelles</t>
  </si>
  <si>
    <t>Data at source is an estimate that includes an upper and lower boundary. For the purpose of this calculation the median value was used.</t>
  </si>
  <si>
    <t>Data was shared directly by source with MIF on 30 July 2024.</t>
  </si>
  <si>
    <t xml:space="preserve">The model at source revises and updates all the historical trends based on new parameters and new assumptions related to new scientific findings and the evolution of the epidemic. Therefore, the comparison between yearly rounds of estimates is not relevant. </t>
  </si>
  <si>
    <t>ARTPRovPregWomUNAIDS</t>
  </si>
  <si>
    <t>Provision of Antiretroviral Treatment (ART) for Pregnant Women</t>
  </si>
  <si>
    <t>This sub-sub-indicator estimates the percentage of HIV-positive pregnant women who received antiretroviral medicine (ARV) to reduce the risk of mother-to-child transmission.</t>
  </si>
  <si>
    <t xml:space="preserve">O- PMTCT coverage (Effective regimen 2010-2023)” </t>
  </si>
  <si>
    <t>Cameroon, Central African Republic, Comoros, Equatorial Guinea, Namibia, São Tomé and Príncipe, Seychelles</t>
  </si>
  <si>
    <t>Immun</t>
  </si>
  <si>
    <t>Immunisation</t>
  </si>
  <si>
    <t xml:space="preserve">This sub-indicator measures the percentage of children who have received vaccines against measles, diphtheria, tetanus toxoid, pertussis and hepatitis B. </t>
  </si>
  <si>
    <t>ImmunMeaslesWHO</t>
  </si>
  <si>
    <t>Immunisation against Measles</t>
  </si>
  <si>
    <t>This sub-sub-indicator measures the percentage of children under one year of age who have received at least one dose of measles-containing vaccine in a given year. For countries recommending the first dose of measles vaccine in children over 12 months of age, the indicator is calculated as the proportion of children less than 12-23 months of age receiving one dose of measles-containing vaccine.</t>
  </si>
  <si>
    <t>Measles-containing-vaccine first-dose (MCV1) immunization coverage among 1-year-olds (%)</t>
  </si>
  <si>
    <t>https://www.who.int/data/gho/data/indicators/indicator-details/GHO/measles-containing-vaccine-first-dose-(mcv1)-immunization-coverage-among-1-year-olds-(-)</t>
  </si>
  <si>
    <t>ImmunDPTWHO</t>
  </si>
  <si>
    <t>Immunisation against DPT</t>
  </si>
  <si>
    <t>This sub-sub-indicator measures the percentage of one-year-olds who have received three doses of the combined diphtheria, tetanus toxoid and pertussis vaccine in a given year.</t>
  </si>
  <si>
    <t>Diphtheria tetanus toxoid and pertussis (DTP3) immunization coverage among 1-year-olds (%)</t>
  </si>
  <si>
    <t>https://www.who.int/data/gho/data/indicators/indicator-details/GHO/diphtheria-tetanus-toxoid-and-pertussis-(dtp3)-immunization-coverage-among-1-year-olds-(-)</t>
  </si>
  <si>
    <t>ImmunHepBWHO</t>
  </si>
  <si>
    <t>Immunisation against Hepatitis B</t>
  </si>
  <si>
    <t>This sub-sub-indicator measures the percentage of one-year-olds who have received three doses of hepatitis B vaccine in a given year.</t>
  </si>
  <si>
    <t>Hepatitis B (HepB3) immunization coverage among 1-year-olds (%)</t>
  </si>
  <si>
    <t>https://www.who.int/data/gho/data/indicators/indicator-details/GHO/hepatitis-b-(hepb3)-immunization-coverage-among-1-year-olds-(-)</t>
  </si>
  <si>
    <t>ContNonComDis</t>
  </si>
  <si>
    <t>Control of Non-Communicable Diseases</t>
  </si>
  <si>
    <t>IHME</t>
  </si>
  <si>
    <t>This indicator measures the years of healthy life lost (DALYs) due to metabolic risks and the death rate due to non-communicable diseases.</t>
  </si>
  <si>
    <t>AbsMetRiskIHME</t>
  </si>
  <si>
    <t>Absence of Metabolic Risks</t>
  </si>
  <si>
    <t>Institute for Health Metrics and Evaluation</t>
  </si>
  <si>
    <t>Global Burden of Disease</t>
  </si>
  <si>
    <t>This sub-indicator measures the age-standardised percentage of DALY's (disability adjusted life years) due to metabolic risks. Disability-Adjusted Life Years (DALYs) are defined as the sum of years lost due to premature death and years lived with disability. DALYs are also defined as years of healthy life lost.</t>
  </si>
  <si>
    <t>Age-standardized DALYs (Disability-Adjusted Life Years) Metabolic risks</t>
  </si>
  <si>
    <t>thelancet.com/journals/lancet/issue/vol392no10159/PIIS0140-6736(18)X0048-8</t>
  </si>
  <si>
    <t>Raw data is multiplied by 100 by MIF to express in percentage (%).</t>
  </si>
  <si>
    <t>AbsDeathNCDIHME</t>
  </si>
  <si>
    <t>Absence of Deaths Due to Non-Communicable Diseases (NCDs)</t>
  </si>
  <si>
    <t xml:space="preserve">This sub-indicator measures the age-standardised death rate due to non-communicable diseases per 100,000 population. </t>
  </si>
  <si>
    <t>Age-standardized Deaths Rate Non-Communicable Diseases</t>
  </si>
  <si>
    <t>thelancet.com/journals/lancet/issue/vol392no10159/PIIS0140-6736(18)X0048-9</t>
  </si>
  <si>
    <t>ContChildMatHealth</t>
  </si>
  <si>
    <t>Child &amp; Maternal Health</t>
  </si>
  <si>
    <t>UN IGME/UN MMEIG/UNDESA/UNICEF&amp;WHO&amp;WB</t>
  </si>
  <si>
    <t xml:space="preserve">This indicator measures the probability of child mortality and the prevalence of stunting among children under 5, as well as the annual number of maternal deaths and the proportion of women of reproductive age using modern contraceptive methods. </t>
  </si>
  <si>
    <t>ContChildMortIGME</t>
  </si>
  <si>
    <t>Control of Child Mortality</t>
  </si>
  <si>
    <t>UN IGME</t>
  </si>
  <si>
    <t>United Nations Inter-agency Group for Child Mortality Estimation</t>
  </si>
  <si>
    <t>Child Mortality Estimates</t>
  </si>
  <si>
    <t>This sub-indicator measures the probability of dying between birth and exact age 5, expressed per 1,000 live births.</t>
  </si>
  <si>
    <t xml:space="preserve">Under-five mortality rate - total </t>
  </si>
  <si>
    <t>0-1000</t>
  </si>
  <si>
    <t>https://childmortality.org/methods</t>
  </si>
  <si>
    <t xml:space="preserve">Data at source is provided with upper, lower and median value. For the purpose of this Index, the median value is used.  </t>
  </si>
  <si>
    <t>ContMatMortUNMMEIG</t>
  </si>
  <si>
    <t>Control of Maternal Mortality</t>
  </si>
  <si>
    <t>UN MMEIG</t>
  </si>
  <si>
    <t>United Nations Maternal Mortality Estimation Inter-agency Group</t>
  </si>
  <si>
    <t>Trends in Maternal Mortality: 2000-2020</t>
  </si>
  <si>
    <t>This sub-indicator estimates the annual number of maternal deaths per 100,000 live births. Maternal deaths are defined as death if a woman dies during pregnancy and childbirth or within 42 days of termination of pregnancy, irrespective of the duration and site of the pregnancy, from any cause related to or aggravated by the pregnancy or its management, but not from accidental or incidental causes.</t>
  </si>
  <si>
    <t>Maternal mortality ratio (per 100 000 live births)</t>
  </si>
  <si>
    <t>https://www.who.int/data/gho/indicator-metadata-registry/imr-details/26</t>
  </si>
  <si>
    <t>While in previous IIAG iterations this variable met the IIAG variable inclusion criteria (data must be available for a minimum of 33 African countries with two years’ worth of data and the latest data point from source must be no more than three years old), no country meets the inclusion criteria now due to the fact that the latest data year available from source is 2017. Due to the importance/uniqueness of this indicator in the IIAG and the expected availability of data in the future, MIF has decided to make an exception and keep this variable.</t>
  </si>
  <si>
    <t>According to source, publication of MMEIG maternal mortality estimates has been delayed due to transition to World Population prospects (WPP)-2022. New estimates are expected to be published in December 2022, and will cover the period 2000 to 2020.</t>
  </si>
  <si>
    <t>WomUseModContUNDESA</t>
  </si>
  <si>
    <t>Women's Access to Modern Contraceptives</t>
  </si>
  <si>
    <t>United Nations Department of Economic and Social Affairs Population Division</t>
  </si>
  <si>
    <t>Family Planning Indicators</t>
  </si>
  <si>
    <t>This sub-indicator estimates the proportion of women of reproductive age (15-49 years) who are using, or whose sexual partner is using, at least one modern method of contraception. Modern methods of contraception include female and male sterilization, the intra-uterine device (IUD), implants, injectables, oral contraceptive pills, male and female condoms, vaginal barrier methods (including the diaphragm, cervical cap and spermicidal foam, jelly, cream and sponge), the lactational amenorrhea method (LAM), emergency contraception and other modern methods not reported separately (e.g., the contraceptive patch or the vaginal ring).</t>
  </si>
  <si>
    <t>Contraceptive prevalence: any modern method (Percent), median, 15-49, all women</t>
  </si>
  <si>
    <t>https://www.un.org/development/desa/pd/sites/www.un.org.development.desa.pd/files/undesa_pd_2021_wcu_fp-indicators_documentation.pdf</t>
  </si>
  <si>
    <t>ChildStuntUNICEF</t>
  </si>
  <si>
    <t>Absence of Child Stunting</t>
  </si>
  <si>
    <t>UNICEF&amp;WHO&amp;WB</t>
  </si>
  <si>
    <t>United Nations Children's Fund &amp; World Health Organization &amp; World Bank</t>
  </si>
  <si>
    <t>Joint Child Malnutrition Estimates (JME)</t>
  </si>
  <si>
    <t>This sub-indicator measures the prevalence of stunting among children under 5 years of age, meaning children who are more than two standard deviations below the median height-for-age of the WHO Child Growth Standards.</t>
  </si>
  <si>
    <t>Stunting prevalence among children under 5 years of age (% height-for-age &lt;-2 SD) (JME country)</t>
  </si>
  <si>
    <t>https://www.who.int/data/gho/data/indicators/indicator-details/GHO/gho-jme-country-children-aged-5-years-stunted-(-height-for-age--2-sd)</t>
  </si>
  <si>
    <t xml:space="preserve">Data at source is provided with upper, lower and median value. For the purpose of this Index, the median value (point estimate) is used.  </t>
  </si>
  <si>
    <t>HealthQual</t>
  </si>
  <si>
    <t>Health Quality</t>
  </si>
  <si>
    <t>This indicator measures countries' compliance with three out of 13 WHO International Health Regulations, namely Health Human Resources, Health Services Provision as well as Health Emergency Management.</t>
  </si>
  <si>
    <t>2018-2020</t>
  </si>
  <si>
    <t>Average of 13 International Health Regulations core capacity scores, SPAR version</t>
  </si>
  <si>
    <t>https://www.who.int/data/gho/data/indicators/indicator-details/GHO/-average-of-13-international-health-regulations-core-capacity-scores-spar-version</t>
  </si>
  <si>
    <t>Somalia</t>
  </si>
  <si>
    <t xml:space="preserve">MIF has collected "Average of 13 International Health Regulations core capacity scores, SPAR version" (with data for years 2018-2020) and not ""Average of 13 International Health Regulations core capacity scores, 1st version of the questionnaire" (with data for years 2012-2017). This is due to the reason that the source advises that, due to changes in the questionnaire in 2018, score comparability is limited for reports between 2010-2017 period compared to reports after 2018. </t>
  </si>
  <si>
    <t>HealthHumResWHO</t>
  </si>
  <si>
    <t>Health Human Resources</t>
  </si>
  <si>
    <t>This sub-indicator measures compliance with 1 out of 15 WHO International Health Regulations core capacity scores: Human resources. The revised International Health Regulations (IHR) were adopted in 2005 and entered into force in 2007. Under the IHR, States Parties are obliged to develop and maintain minimum core capacities for surveillance and response, including at points of entry, in order to early detect, assess, notify, and respond to any potential public health events of international concern. The 15 capacities are: C1. Policy, legal and normative instruments to implement IHR, C2. IHR coordination and National IHR Focal Point, C.3. Financing, C4. Laboratory, C5. Surveillance, C6. Human resources, C7. Health emergency management, C8. Health services provision, C9. Infection prevention and control (IPC) C10. Risk communication and community engagement (RCCE), C11. Points of entry (PoEs) and border health, C12. Zoonotic diseases, C13. Food safety, C14. Chemical events, C15. Radiation emergencies.</t>
  </si>
  <si>
    <t>Human resources, International Health Regulations (2005) SPAR second edition (IHR SPAR 2021- )</t>
  </si>
  <si>
    <t>https://www.who.int/data/gho/data/indicators/indicator-details/GHO/sdgihr2021</t>
  </si>
  <si>
    <t>Data is only comparable for years 2021, 2022 and 2023 because it is collected from International Health Regulations (2005) SPAR second edition (IHR SPAR 2021- ).</t>
  </si>
  <si>
    <t>HealhServProvWHO</t>
  </si>
  <si>
    <t>Health Services Provision</t>
  </si>
  <si>
    <t>This sub-indicator measures compliance with 1 out of 15 WHO International Health Regulations core capacity scores: Health services provision. The revised International Health Regulations (IHR) were adopted in 2005 and entered into force in 2007. Under the IHR, States Parties are obliged to develop and maintain minimum core capacities for surveillance and response, including at points of entry, in order to early detect, assess, notify, and respond to any potential public health events of international concern. The 15 capacities are: C1. Policy, legal and normative instruments to implement IHR, C2. IHR coordination and National IHR Focal Point, C.3. Financing, C4. Laboratory, C5. Surveillance, C6. Human resources, C7. Health emergency management, C8. Health services provision, C9. Infection prevention and control (IPC) C10. Risk communication and community engagement (RCCE), C11. Points of entry (PoEs) and border health, C12. Zoonotic diseases, C13. Food safety, C14. Chemical events, C15. Radiation emergencies.</t>
  </si>
  <si>
    <t>Health services provision, International Health Regulations (2005) SPAR second edition (IHR SPAR 2021- )</t>
  </si>
  <si>
    <t>HealthEmManagWHO</t>
  </si>
  <si>
    <t>Health Emergency Management</t>
  </si>
  <si>
    <t>This sub-indicator measures compliance with 1 out of 15 WHO International Health Regulations core capacity scores: Health emergency management. The revised International Health Regulations (IHR) were adopted in 2005 and entered into force in 2007. Under the IHR, States Parties are obliged to develop and maintain minimum core capacities for surveillance and response, including at points of entry, in order to early detect, assess, notify, and respond to any potential public health events of international concern. The 15 capacities are: C1. Policy, legal and normative instruments to implement IHR, C2. IHR coordination and National IHR Focal Point, C.3. Financing, C4. Laboratory, C5. Surveillance, C6. Human resources, C7. Health emergency management, C8. Health services provision, C9. Infection prevention and control (IPC) C10. Risk communication and community engagement (RCCE), C11. Points of entry (PoEs) and border health, C12. Zoonotic diseases, C13. Food safety, C14. Chemical events, C15. Radiation emergencies.</t>
  </si>
  <si>
    <t>Health emergency management, International Health Regulations (2005) SPAR second edition (IHR SPAR 2021- )</t>
  </si>
  <si>
    <t>SatHealth</t>
  </si>
  <si>
    <t>Public Perception of Health Provision</t>
  </si>
  <si>
    <t>This indicator assesses the extent to which citizens are satisfied with how the government is doing at improving basic health services and at providing water and sanitation services, as well as citizens' perceptions of how easy it is to obtain the medical care they need.</t>
  </si>
  <si>
    <t>PercEaseObtMedCareAFR</t>
  </si>
  <si>
    <t>Perceived Ease of Obtaining Medical Care</t>
  </si>
  <si>
    <t xml:space="preserve">This sub-indicator assesses citizens' perceptions of how easy it is to obtain the medical care they need. </t>
  </si>
  <si>
    <t>Difficulty to obtain medical care</t>
  </si>
  <si>
    <t>SatBasHealthServAFR</t>
  </si>
  <si>
    <t>Satisfaction with Basic Health Services</t>
  </si>
  <si>
    <t xml:space="preserve">This sub-indicator assesses the extent to which citizens feel the government is doing well at improving basic health services. </t>
  </si>
  <si>
    <t>Handling improving basic health services</t>
  </si>
  <si>
    <t>SatWatSanServAFR</t>
  </si>
  <si>
    <t>Satisfaction with Water &amp; Sanitation Services</t>
  </si>
  <si>
    <t xml:space="preserve">This sub-indicator assesses the extent to which citizens feel the government is doing well at providing water and sanitation services. </t>
  </si>
  <si>
    <t>Handling providing water and sanitation services</t>
  </si>
  <si>
    <t>EDUC</t>
  </si>
  <si>
    <t>EDUCATION</t>
  </si>
  <si>
    <t>This sub-category assesses equality and gender parity in education, education enrolment and completion, human resources in education, education quality, as well as the public perception of education provision.</t>
  </si>
  <si>
    <t>EquEduc</t>
  </si>
  <si>
    <t>Equality in Education</t>
  </si>
  <si>
    <t>V-DEM/UNESCO</t>
  </si>
  <si>
    <t>This indicator measures the gender parity ratio in primary and lower secondary education and assesses the extent to which high quality basic education is guaranteed to all citizens.</t>
  </si>
  <si>
    <t>GendParEduc</t>
  </si>
  <si>
    <t>Gender Parity in Education</t>
  </si>
  <si>
    <t>UNESCO</t>
  </si>
  <si>
    <t>This sub-indicator measures the ratio of female gross enrolment to male gross enrolment in primary and lower secondary education.</t>
  </si>
  <si>
    <t>GendParPrimEducUNESCO</t>
  </si>
  <si>
    <t>Gender Parity in Primary Education</t>
  </si>
  <si>
    <t>United Nations Educational, Scientific and Cultural Organization</t>
  </si>
  <si>
    <t>UNESCO Institute for Statistics (UIS.stat)</t>
  </si>
  <si>
    <t>This sub-sub-indicator measures the female to male gross enrolment ratio for primary education. It is calculated by dividing the female value for the indicator by the male value for the indicator. A value equal to 1 indicates parity between females and males. In general, a value less than 1 indicates disparity in favour of males and a value greater than 1 indicates disparity in favour of females.</t>
  </si>
  <si>
    <t>Gross enrolment ratio, primary, gender parity index (GPI)</t>
  </si>
  <si>
    <t>http://uis.unesco.org/en/glossary-term/parity-indices-femalemale-ruralurban-bottomtop-wealth-quintiles-and-others-such</t>
  </si>
  <si>
    <t>Guinea-Bissau, Libya</t>
  </si>
  <si>
    <t>Gabon, Somalia, South Sudan</t>
  </si>
  <si>
    <t xml:space="preserve">At times raw data scores can exceed 1, indicating that boys are more disadvantaged than girls in learning opportunities. </t>
  </si>
  <si>
    <t>GendParLowSecEducUNESCO</t>
  </si>
  <si>
    <t>Gender Parity in Lower Secondary Education</t>
  </si>
  <si>
    <t>This sub-sub-indicator measures the ratio of female gross enrolment ratio for lower secondary to the male gross enrolment ratio for lower secondary. It is calculated by dividing the female value for the indicator by the male value for the indicator. A value equal to 1 indicates parity between females and males. In general, a value less than 1 indicates disparity in favour of males and a value greater than 1 indicates disparity in favour of females.</t>
  </si>
  <si>
    <t>Gross enrolment ratio, lower secondary, gender parity index (GPI)</t>
  </si>
  <si>
    <t>Algeria, Guinea-Bissau, Libya, Somalia, Zimbabwe</t>
  </si>
  <si>
    <t>Angola, Congo Republic, Equatorial Guinea, Gabon, South Sudan</t>
  </si>
  <si>
    <t>Only 32 African countries meet the IIAG variable inclusion criteria (data must be available for a minimum of 33 African countries with two years’ worth of data and the latest data point from source must be no more than three years old) . Due to the importance/uniqueness of this indicator in the IIAG and the expected availability of data in the future, MIF has decided to make an exception and include this variable.</t>
  </si>
  <si>
    <t>EducEqVDEM</t>
  </si>
  <si>
    <t>Education Equality</t>
  </si>
  <si>
    <r>
      <t>This sub-indicator assesses the extent to which high quality basic education is guaranteed to all, su</t>
    </r>
    <r>
      <rPr>
        <sz val="10"/>
        <color rgb="FF000000"/>
        <rFont val="Courier New"/>
        <family val="3"/>
      </rPr>
      <t>ﬃ</t>
    </r>
    <r>
      <rPr>
        <sz val="10"/>
        <color rgb="FF000000"/>
        <rFont val="Bliss 2 Light"/>
        <family val="3"/>
      </rPr>
      <t xml:space="preserve">cient to enable them to exercise their basic rights as adult citizens. </t>
    </r>
  </si>
  <si>
    <t>v2peedueq_osp (Educational equality)</t>
  </si>
  <si>
    <t>EducEnr</t>
  </si>
  <si>
    <t>Education Enrolment</t>
  </si>
  <si>
    <t xml:space="preserve">This indicator measures the percentage of students enrolled from pre-primary to tertiary education over the corresponding eligible official school-age population for each level of education.  </t>
  </si>
  <si>
    <t>EnrolPrePrimUNESCO</t>
  </si>
  <si>
    <t>Enrolment in pre-Primary Education</t>
  </si>
  <si>
    <t>This sub-indicator measures the number of students enrolled in pre-primary level of education, regardless of age, expressed as a percentage of the eligible official school-age population corresponding to pre-primary education.</t>
  </si>
  <si>
    <t>SDG Indicator 4.2.4 Net enrolment ratio, pre-primary, both sexes (%)</t>
  </si>
  <si>
    <t>https://tcg.uis.unesco.org/wp-content/uploads/sites/4/2021/09/Metadata-4.2.4.pdf</t>
  </si>
  <si>
    <t>Eswatini, Gabon, Guinea-Bissau, Kenya, Libya, Malawi, Mauritania, Mozambique, Nigeria, Somalia, Tunisia, Uganda, Zambia</t>
  </si>
  <si>
    <t>Angola, Botswana, Central African Republic, DR Congo, Equatorial Guinea, South Sudan, Sudan</t>
  </si>
  <si>
    <t xml:space="preserve">At times raw data scores can exceed 100, due to overage/underage enrolment in a particular year of schooling. </t>
  </si>
  <si>
    <t>Only 25 African countries meet the IIAG variable inclusion criteria (data must be available for a minimum of 33 African countries with two years’ worth of data and the latest data point from source must be no more than three years old) . Due to the importance/uniqueness of this indicator in the IIAG and the expected availability of data in the future, MIF has decided to make an exception and include this variable.</t>
  </si>
  <si>
    <t>EnrolPrimUNESCO</t>
  </si>
  <si>
    <t>Enrolment in Primary Education</t>
  </si>
  <si>
    <t>This sub-indicator measures the number of students enrolled in primary education, regardless of age, expressed as a percentage of the eligible official school-age population corresponding to the primary level of education.</t>
  </si>
  <si>
    <t>Gross enrolment ratio, primary, both sexes (%)</t>
  </si>
  <si>
    <t>https://uis.unesco.org/en/glossary-term/gross-enrolment-ratio</t>
  </si>
  <si>
    <t>Gabon</t>
  </si>
  <si>
    <t>Only 38 African countries meet the IIAG variable inclusion criteria (data must be available for a minimum of 33 African countries with two years’ worth of data and the latest data point from source must be no more than three years old) . Due to the importance/uniqueness of this indicator in the IIAG and the expected availability of data in the future, MIF has decided to make an exception and include this variable.</t>
  </si>
  <si>
    <t>EnrolSecUNESCO</t>
  </si>
  <si>
    <t>Enrolment in Secondary Education</t>
  </si>
  <si>
    <t>This sub-indicator measures the number of students enrolled in secondary level of education, regardless of age, expressed as a percentage of the eligible official school-age population corresponding to secondary education.</t>
  </si>
  <si>
    <t>Gross enrolment ratio, secondary, both sexes (%)</t>
  </si>
  <si>
    <t>Equatorial Guinea, Guinea-Bissau, Kenya, Libya, Namibia, Zambia, Zimbabwe</t>
  </si>
  <si>
    <t>Angola, Botswana, Congo Republic, Gabon, Gambia, South Sudan</t>
  </si>
  <si>
    <t>Only 26 African countries meet the IIAG variable inclusion criteria (data must be available for a minimum of 33 African countries with two years’ worth of data and the latest data point from source must be no more than three years old) . Due to the importance/uniqueness of this indicator in the IIAG and the expected availability of data in the future, MIF has decided to make an exception and include this variable.</t>
  </si>
  <si>
    <t>EnrolTertUNESCO</t>
  </si>
  <si>
    <t>Enrolment in Tertiary Education</t>
  </si>
  <si>
    <t>This sub-indicator measures the number of students enrolled in tertiary level of education, regardless of age, expressed as a percentage of the eligible official school-age population corresponding to tertiary education. For the tertiary level, the population used is the 5-year age group immediately following upper secondary education.</t>
  </si>
  <si>
    <t>SDG Indicator 4.3.2 Gross enrolment ratio for tertiary education, both sexes (%)</t>
  </si>
  <si>
    <t>https://tcg.uis.unesco.org/wp-content/uploads/sites/4/2021/09/Metadata-4.3.2.pdf</t>
  </si>
  <si>
    <t>Central African Republic, Djibouti, Eswatini, Gambia, Guinea-Bissau, Liberia, Libya, Sierra Leone, Somalia, Zambia</t>
  </si>
  <si>
    <t>Comoros, Gabon</t>
  </si>
  <si>
    <t>Only 19 African countries meet the IIAG variable inclusion criteria (data must be available for a minimum of 33 African countries with two years’ worth of data and the latest data point from source must be no more than three years old) . Due to the importance/uniqueness of this indicator in the IIAG and the expected availability of data in the future, MIF has decided to make an exception and include this variable.</t>
  </si>
  <si>
    <t>CompEduc</t>
  </si>
  <si>
    <t>Education Completion</t>
  </si>
  <si>
    <t xml:space="preserve">This indicator measures the completion rate at primary and secondary education levels. </t>
  </si>
  <si>
    <t>ComPrimEducUNESCO</t>
  </si>
  <si>
    <t>Completion of Primary Education</t>
  </si>
  <si>
    <t>This sub-indicator measures the percentage of a cohort of children or young people aged 3-5 years above the intended age for the last grade of the primary level of education who have completed that grade.</t>
  </si>
  <si>
    <t>SDG Indicator 4.1.2 Completion rate, primary education, both sexes (%)</t>
  </si>
  <si>
    <t>https://tcg.uis.unesco.org/wp-content/uploads/sites/4/2021/09/Metadata-4.1.2.pdf</t>
  </si>
  <si>
    <t>Cabo Verde, Equatorial Guinea, Eritrea, Gabon, Libya, Morocco, Seychelles, Somalia, South Sudan</t>
  </si>
  <si>
    <t>Angola, Burundi, Central African Republic, Comoros, DR Congo, Djibouti, Mauritania, Mozambique, Niger</t>
  </si>
  <si>
    <t>At times raw data scores can exceed 100.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</si>
  <si>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Only 22 African countries meet the IIAG variable inclusion criteria (data must be available for a minimum of 33 African countries with two years’ worth of data and the latest data point from source must be no more than three years old) . Due to the importance/uniqueness of this indicator in the IIAG and the expected availability of data in the future, MIF has decided to make an exception and include this variable.</t>
  </si>
  <si>
    <t>CompSecEduc</t>
  </si>
  <si>
    <t>Completion of Secondary Education</t>
  </si>
  <si>
    <t xml:space="preserve">This sub-indicator measures the completion rate at lower and upper secondary education levels. </t>
  </si>
  <si>
    <t>CompLoSecEducUNESCO</t>
  </si>
  <si>
    <t>Completion of Lower Secondary Education</t>
  </si>
  <si>
    <t>This sub-sub-indicator measures the percentage of a cohort of children or young people aged 3-5 years above the intended age for the last grade of the lower secondary level of education who have completed that grade.</t>
  </si>
  <si>
    <t>SDG Indicator 4.1.2 Completion rate, lower secondary education, both sexes (%)</t>
  </si>
  <si>
    <t>Cabo Verde, Equatorial Guinea, Eritrea, Libya, Morocco, Seychelles, Somalia, South Sudan</t>
  </si>
  <si>
    <t>Central African Republic, Comoros, Congo Republic, DR Congo, Djibouti, Mozambique, Namibia, Niger, Sudan</t>
  </si>
  <si>
    <t>At times raw data scores can exceed 100. The numerator may include late entrants and overage children who have repeated one or more grades of primary education as well as children who entered school early, while the denominator is the number of children at the entrance age for the last grade of lower secondary education.</t>
  </si>
  <si>
    <t>Only 17 African countries meet the IIAG variable inclusion criteria (data must be available for a minimum of 33 African countries with two years’ worth of data and the latest data point from source must be no more than three years old) . Due to the importance/uniqueness of this indicator in the IIAG and the expected availability of data in the future, MIF has decided to make an exception and include this variable.</t>
  </si>
  <si>
    <t>CompUppSecEducUNESCO</t>
  </si>
  <si>
    <t>Completion of Upper Secondary Education</t>
  </si>
  <si>
    <t>This sub-sub-indicator measures the percentage of a cohort of children or young people aged 3-5 years above the intended age for the last grade of the upper secondary level of education who have completed that grade.</t>
  </si>
  <si>
    <t>SDG Indicator 4.1.2 Completion rate, upper secondary education, both sexes (%)</t>
  </si>
  <si>
    <t>Botswana, Equatorial Guinea, Eritrea, Gabon, Libya, Morocco, Seychelles, Somalia, South Sudan</t>
  </si>
  <si>
    <t>Burundi, Cabo Verde, Central African Republic, Comoros, Congo Republic, DR Congo, Djibouti, Mauritania, Mauritius, Mozambique, Sudan, Tunisia, Zambia</t>
  </si>
  <si>
    <t>At times raw data scores can exceed 100. The numerator may include late entrants and overage children who have repeated one or more grades of primary education as well as children who entered school early, while the denominator is the number of children at the entrance age for the last grade of upper secondary education.</t>
  </si>
  <si>
    <t>Only 10 African countries meet the IIAG variable inclusion criteria (data must be available for a minimum of 33 African countries with two years’ worth of data and the latest data point from source must be no more than three years old) . Due to the importance/uniqueness of this indicator in the IIAG and the expected availability of data in the future, MIF has decided to make an exception and include this variable.</t>
  </si>
  <si>
    <t>EducRes</t>
  </si>
  <si>
    <t>Human Resources in Education</t>
  </si>
  <si>
    <t xml:space="preserve">This indicator measures the average number of pupils per qualified teacher at primary level of education and the percentage of teachers in primary education who have received the minimum standard of training required for teaching. </t>
  </si>
  <si>
    <t>PupQualTeachRatioUNESCO</t>
  </si>
  <si>
    <t>Pupil-Qualified Teacher Ratio in Primary Education</t>
  </si>
  <si>
    <t>This sub-indicator measures the average number of pupils per qualified teacher at the primary level of education in a given academic year. A qualified teacher is one who has at least the minimum academic qualifications required for teaching their subjects at the relevant level in a given country in a given academic year. The higher the pupil/qualified teacher ratio, the lower the relative access of pupils to qualified teachers.</t>
  </si>
  <si>
    <t>SDG Indicator 4.c.4 Pupil-qualified teacher ratio in primary education (headcount basis)</t>
  </si>
  <si>
    <t>https://tcg.uis.unesco.org/wp-content/uploads/sites/4/2021/09/Metadata-4.c.4.pdf</t>
  </si>
  <si>
    <t>Angola, Guinea-Bissau, Libya, Mali, Mauritania, São Tomé and Príncipe, South Africa, Sudan</t>
  </si>
  <si>
    <t>Botswana, Central African Republic, Comoros, Congo Republic, Equatorial Guinea, Gabon, Kenya, Somalia, South Sudan</t>
  </si>
  <si>
    <t>Only 28 African countries meet the IIAG variable inclusion criteria (data must be available for a minimum of 33 African countries with two years’ worth of data and the latest data point from source must be no more than three years old) . Due to the importance/uniqueness of this indicator in the IIAG and the expected availability of data in the future, MIF has decided to make an exception and include this variable.</t>
  </si>
  <si>
    <t>QualTeachPrimUNESCO</t>
  </si>
  <si>
    <t>Qualified Teachers in Primary Education</t>
  </si>
  <si>
    <t xml:space="preserve">This sub-indicator measures the percentage of teachers in the primary level of education who have at least the minimum academic qualifications required for teaching their subjects at the primary level in a given country, in a given academic year. </t>
  </si>
  <si>
    <t>SDG Indicator 4.c.3 Percentage of qualified teachers in primary education, both sexes (%)</t>
  </si>
  <si>
    <t>https://tcg.uis.unesco.org/wp-content/uploads/sites/4/2021/09/Metadata-4.c.3.pdf</t>
  </si>
  <si>
    <t>Guinea-Bissau, Libya, Mali, Mauritania, São Tomé and Príncipe, Somalia, South Africa, Sudan</t>
  </si>
  <si>
    <t>Angola, Botswana, Central African Republic, Comoros, Congo Republic, Equatorial Guinea, Gabon, Kenya, South Sudan</t>
  </si>
  <si>
    <t>Only 29 African countries meet the IIAG variable inclusion criteria (data must be available for a minimum of 33 African countries with two years’ worth of data and the latest data point from source must be no more than three years old) . Due to the importance/uniqueness of this indicator in the IIAG and the expected availability of data in the future, MIF has decided to make an exception and include this variable.</t>
  </si>
  <si>
    <t>EduqQual</t>
  </si>
  <si>
    <t>Education Quality</t>
  </si>
  <si>
    <t>BS/WB/WEF</t>
  </si>
  <si>
    <t>This indicator assesses the extent to which there are solid educational institutions and education policy is successful in delivering high quality education and supports research and development, as well as the extent to which the education system meets the needs of a competitive economy and the number of expected years of learning-adjusted years of schooling.</t>
  </si>
  <si>
    <t>EduPolBS</t>
  </si>
  <si>
    <t>Education Policy</t>
  </si>
  <si>
    <t xml:space="preserve">This sub-indicator assesses the extent to which there are solid institutions for basic, secondary, and tertiary education, as well as for research and development. It assesses whether education policy is successful in delivering high quality education and training, and research and development receive effective support from the government. It does not focus on expenditures alone, but also on the quality and competitiveness of the education system and the research sector, considering the structure of funding and knowledge providers (public, private and international cooperation), the output of the educational and developmental efforts, e.g. enrolment rates, literacy rates, percentage of people with higher education and number of patent applications. </t>
  </si>
  <si>
    <t>Education policy/ R&amp;D</t>
  </si>
  <si>
    <t>EducMarketNeedsWEF</t>
  </si>
  <si>
    <t>Education Alignment with Market Needs</t>
  </si>
  <si>
    <t>This sub-indicator assesses how well the education system meets the needs of a competitive economy.</t>
  </si>
  <si>
    <t>Quality of the educational system</t>
  </si>
  <si>
    <t>ExpYearLearnAdjSchWB</t>
  </si>
  <si>
    <t>Expected Years of Learning-Adjusted Schooling</t>
  </si>
  <si>
    <t>Human Capital Index</t>
  </si>
  <si>
    <t xml:space="preserve">This sub-indicator measures the learning-adjusted years of school, which are calculated by multiplying the estimates of expected years of school by the ratio of most recent harmonised test scores to 625. </t>
  </si>
  <si>
    <t>2017, 2018, 2020</t>
  </si>
  <si>
    <t>Learning-Adjusted Years of School</t>
  </si>
  <si>
    <t>0-14</t>
  </si>
  <si>
    <t>https://databank.worldbank.org/source/human-capital-index</t>
  </si>
  <si>
    <t>Cabo Verde, Djibouti, Equatorial Guinea, Eritrea, Guinea-Bissau, Libya, São Tomé and Príncipe, Somalia</t>
  </si>
  <si>
    <t>SatEduc</t>
  </si>
  <si>
    <t>Public Perception of Education Provision</t>
  </si>
  <si>
    <t>This indicator assesses the extent to which citizens are satisfied with how the government is doing at addressing educational needs as well as citizens' perceptions of how easy it is to obtain the public school services they need.</t>
  </si>
  <si>
    <t>AvailPubSchServAFR</t>
  </si>
  <si>
    <t>Perceived Ease of Obtaining Public School Services</t>
  </si>
  <si>
    <t xml:space="preserve">This sub-indicator assesses citizens' perceptions of how easy it was to obtain the services they needed from teachers or school officials. </t>
  </si>
  <si>
    <t>Difficulty to obtain public school services</t>
  </si>
  <si>
    <t>SatEducProvAFR</t>
  </si>
  <si>
    <t>Satisfaction with Education Services</t>
  </si>
  <si>
    <t xml:space="preserve">This sub-indicator assesses the extent to which citizens feel the government is doing well at addressing educational needs. </t>
  </si>
  <si>
    <t>Handling addressing educational needs</t>
  </si>
  <si>
    <t>SOCPROT</t>
  </si>
  <si>
    <t>SOCIAL PROTECTION &amp; WELFARE</t>
  </si>
  <si>
    <t>This sub-category assesses social safety nets, poverty reduction efforts (including social protection, labour and welfare policies), socioeconomic inequality mitigation, access to decent housing, food security, as well as the public perception of social protection and lived poverty.</t>
  </si>
  <si>
    <t>SocialSafNet</t>
  </si>
  <si>
    <t>Social Safety Nets</t>
  </si>
  <si>
    <t xml:space="preserve">This indicator assesses the extent to which social safety nets exist to compensate for social risks of the market economy, including social safety nets for the elderly, those with an illness or health conditions, and the unemployed. </t>
  </si>
  <si>
    <t>SocSafNet</t>
  </si>
  <si>
    <t xml:space="preserve">This sub-indicator assesses the extent to which there are departments or equivalent mandated to ensure social safety nets for the elderly, those with an illness or health conditions and the unemployed. </t>
  </si>
  <si>
    <t>SocSafNetEldGI</t>
  </si>
  <si>
    <t>Social Safety Nets for the Elderly</t>
  </si>
  <si>
    <t>This sub-sub-indicator assesses the extent to which there is a department or equivalent mandated to ensure a social safety net for the elderly. It also assesses the extent to which in the last year, it implemented permanent programs to ensure health care, housing and other basic needs, and all or most in this population have access to these programs.</t>
  </si>
  <si>
    <t>In practice, there is a government social safety net to assist the elderly</t>
  </si>
  <si>
    <t>SocSafNetIllGI</t>
  </si>
  <si>
    <t>Social Safety Nets for Illness &amp; Health Conditions</t>
  </si>
  <si>
    <t>This sub-sub-indicator assesses the extent to which there is a department or equivalent mandated to ensure a social safety net for those who cannot work due to a permanent or temporary illness or health condition. It also assesses the extent to which, in the last year, it implemented permanent programs to ensure health care, housing and other basic needs, and all or most in this population have access to these programs.</t>
  </si>
  <si>
    <t>In practice, there is a government social safety net to assist those who can't work due to a permanent or temporary illness or health condition</t>
  </si>
  <si>
    <t>SocSafNetIUnempGI</t>
  </si>
  <si>
    <t>Social Safety Nets for Unemployment</t>
  </si>
  <si>
    <t>This sub-sub-indicator assesses the extent to which there is a department or equivalent mandated to ensure a social safety net for the unemployed. It also assesses the extent to which in the last year, it implemented permanent programs to ensure health care, housing, and other basic needs, and all or most in this population have access to these programs.</t>
  </si>
  <si>
    <t>In practice, there is a government social safety net to compensate for unemployment</t>
  </si>
  <si>
    <t>SocSafNetBS</t>
  </si>
  <si>
    <t xml:space="preserve">This sub-indicator assesses the extent to which social safety nets exist to compensate for social risks of the capitalist economic system, such as unemployment or poverty, and alleviate handicaps such as old age, illness, or disability. It assesses the form of compensation, the funding, the structure of the welfare regime and the coverage/inclusiveness of social safety nets. </t>
  </si>
  <si>
    <t>Social safety nets</t>
  </si>
  <si>
    <t>PovRedPol</t>
  </si>
  <si>
    <t>Poverty Reduction Policies</t>
  </si>
  <si>
    <t xml:space="preserve">This indicator assesses the extent to which socioeconomic factors are not a barrier to participation in society, while also assessing the social protection, labour and welfare policies that guarantee a minimum level of welfare and ensure access to quality health and education services. </t>
  </si>
  <si>
    <t>AbsSocEcBarrBS</t>
  </si>
  <si>
    <t>Absence of Socioeconomic Barriers</t>
  </si>
  <si>
    <r>
      <t>This sub-indicator assesses the extent to which significant parts of the population are fundamentally excluded from society due to poverty and inequality. It assesses the level of social exclusion as a determining factor for economic transformation. It refers to structural exclusion and not to the output strength of a country’s economy as reflected in macroeconomic data like unemployment or GDP growth</t>
    </r>
    <r>
      <rPr>
        <u/>
        <sz val="10"/>
        <color rgb="FF008080"/>
        <rFont val="Bliss 2 Light"/>
        <family val="3"/>
      </rPr>
      <t xml:space="preserve">. </t>
    </r>
  </si>
  <si>
    <t>Socioeconomic barriers</t>
  </si>
  <si>
    <t>SocProtLabLaw</t>
  </si>
  <si>
    <t>Social Protection &amp; Labour Policies</t>
  </si>
  <si>
    <t>This sub-indicator assesses the extent to which there are government policies in social protection and labour market regulations that reduce the risk of becoming poor, assist those who are poor to better manage further risks and ensure a minimal level of welfare to all people.</t>
  </si>
  <si>
    <t>SocProtLabLawAfDB</t>
  </si>
  <si>
    <t xml:space="preserve">This sub-sub-indicator assesses to which extent government policies reduce the risk of becoming poor, assist those who are poor to better manage further risks, and ensure a minimal level of welfare to all people. Interventions include: social safety net programs, pension and old age savings programs; protection of basic labour standards; regulations to reduce segmentation and inequity in labour markets; active labour market programs, such as public works or job training; and community driven initiatives. </t>
  </si>
  <si>
    <t>Social Protection and Labor</t>
  </si>
  <si>
    <t>SocProtLabLawWB</t>
  </si>
  <si>
    <t xml:space="preserve">This sub-sub-indicator assesses social protection and labor policies and programs across five dimensions: the overall social protection system, social safety net programs, labor market programs and policies, local service delivery and civil society participation in community development programs, and pension and old-age savings programs. </t>
  </si>
  <si>
    <t>CPIA social protection rating  (1=low to 6=high)</t>
  </si>
  <si>
    <t>WelfPolServ</t>
  </si>
  <si>
    <t>Welfare Policies &amp; Services</t>
  </si>
  <si>
    <t>This sub-indicator assesses the national policies and public and private sector service delivery that affect the access to and quality of health and education services.</t>
  </si>
  <si>
    <t>WelfPolSerAfDB</t>
  </si>
  <si>
    <t>This sub-sub-indicator assesses the national policies and public and private sector service delivery that affect access to and quality of: (i) health and nutrition services, including population and reproductive health, (ii) education, early childhood development programs, training and literacy programs, and (iii) prevention and treatment of HIV/AIDS, tuberculosis and malaria.</t>
  </si>
  <si>
    <t>Building Human Resources</t>
  </si>
  <si>
    <t>WelfPolSerWB</t>
  </si>
  <si>
    <t xml:space="preserve">This sub-sub-indicator assesses the quality of national policies and public and private sector delivery in health and education. The health component includes reproductive health, public health care, nutrition, and the prevention and treatment of communicable diseases. The education component includes public education, training, literacy, and early childhood development. </t>
  </si>
  <si>
    <t>CPIA building human resources rating  (1=low to 6=high)</t>
  </si>
  <si>
    <t>IneqMitig</t>
  </si>
  <si>
    <t>Socioeconomic Inequality Mitigation</t>
  </si>
  <si>
    <t>AfDB/FFP/WB/WID.World</t>
  </si>
  <si>
    <t>This indicator assesses the extent to which there is equity of public resource use and income equality as well the extent to which there is no structural economic inequality.</t>
  </si>
  <si>
    <t>EqPubRes</t>
  </si>
  <si>
    <t>Equity of Public Resource Use</t>
  </si>
  <si>
    <t>This sub-indicator assesses the extent to which the pattern of public expenditures and revenue collection affects the poor and is consistent with national poverty reduction priorities.</t>
  </si>
  <si>
    <t>EqPubResAfDB</t>
  </si>
  <si>
    <t>This sub-sub-indicator assesses the extent to which the pattern of public expenditures and revenue collection affects the poor and is consistent with national poverty reduction priorities. The expenditure component consists of two sub-components, one focusing on measurement issues and the other on priorities and strategies, especially those related to the poor and to vulnerable groups. The first (i) covers the extent to which poverty measurement, monitoring, and evaluation instruments exist and the degree to which poverty-related information is made available to the public. The second (ii) assesses the extent to which vulnerable groups are identified, priorities are spelled out and budgets are aligned with those priorities and sub-national allocation of public spending takes into account sub-national levels of poverty. The assessment of the revenue collection, the third (iii) dimension of the criterion, covers the incidence of major taxes, e.g., whether they are progressive or regressive, the extent to which progressive changes have been incorporated in the revenue system, the degree of alignment between revenue collection and poverty reduction priorities.</t>
  </si>
  <si>
    <t>EqPubResWB</t>
  </si>
  <si>
    <t xml:space="preserve">This sub-sub-indicator assesses how public expenditures and revenue collection patterns are translated into national poverty reduction strategies. The first component deals with the availability of quality poverty measurement tools and their usage in poverty reduction
policies. The second deals with the proper identification of vulnerable groups and the existence of a strategy to address their needs. Finally, the third component deals with the progressiveness of public expenditure and its alignment with poverty reduction goals. All three indicators have the same weight to estimate the total score for the criterion. </t>
  </si>
  <si>
    <t>CPIA equity of public resource use rating (1=low to 6=high)</t>
  </si>
  <si>
    <t>IncomeEqWID</t>
  </si>
  <si>
    <t>Income Equality</t>
  </si>
  <si>
    <t>WID.World</t>
  </si>
  <si>
    <t>World Inequality Database</t>
  </si>
  <si>
    <t>This sub-indicator measures pre-tax national income share held by the top 10 percentile group divided by the pre-tax national income share held by the bottom 50 percentile group. Pre-tax national income is the sum of all pre-tax personal income flows accruing to the owners of the production factors, labour and capital, before taking into account the operation of the tax/transfer system, but after taking into account the operation of pension system. The central difference between personal factor income and pre-tax income is the treatment of pensions, which are counted on a contribution basis by factor income and on a distribution basis by pre-tax income. The population is comprised of individuals over age 20. The base unit is the individual (rather than the household) but resources are split equally within couples.</t>
  </si>
  <si>
    <t xml:space="preserve">Pre-tax national income – bottom 50% share / Pre-tax national income – top 10% share </t>
  </si>
  <si>
    <t>https://wid.world/methodology/</t>
  </si>
  <si>
    <t xml:space="preserve">MIF constructs this variable by calculating the pre-tax income of the bottom 50% in a country as a share of the pre-tax income of the top 10%. This calculation was deemed appropriate by source. </t>
  </si>
  <si>
    <t>IncEcoFFP</t>
  </si>
  <si>
    <t>Inclusive Economy</t>
  </si>
  <si>
    <t>FFP</t>
  </si>
  <si>
    <t>Fund for Peace</t>
  </si>
  <si>
    <t>Fragile States Index</t>
  </si>
  <si>
    <t>This sub-indicator assesses the extent to which there is inequality within the economy, irrespective of the actual performance of the economy. This includes for example structural inequality, both actual and perceived, that is based on group (racial, ethnic, religious, other identity group), education, economic status, or region (such as urban-rural divide) as well as opportunities for groups to improve their economic status, for example through access to employment, education or job training.</t>
  </si>
  <si>
    <t>Uneven Economic Development/Economic Inequality</t>
  </si>
  <si>
    <t>0-10</t>
  </si>
  <si>
    <t>https://fragilestatesindex.org/methodology/</t>
  </si>
  <si>
    <t>DecHous</t>
  </si>
  <si>
    <t>Decent Housing</t>
  </si>
  <si>
    <t>CAHF/UN-Habitat</t>
  </si>
  <si>
    <t>This indicator measures the share of the urban population living in slum households, as well as the affordability of the cheapest newly built urban housing constructed by formal developers.</t>
  </si>
  <si>
    <t>AbsSlumHousUNHABITAT</t>
  </si>
  <si>
    <t>Absence of Slum Households</t>
  </si>
  <si>
    <t>UN-Habitat</t>
  </si>
  <si>
    <t>United Nations Human Settlements Programme &amp; United Nations Department of Economic and Social Affairs</t>
  </si>
  <si>
    <t>Urban Indicators Database</t>
  </si>
  <si>
    <t xml:space="preserve">This sub-indicator measures the proportion of the urban population living in slums. Slum households are households whose members suffer one or more of the following ‘household deprivations’: i) Lack of access to improved water source, ii) Lack of access to improved sanitation facilities, iii) Lack of sufficient living area, iv)Lack of housing durability and, v) Lack of security of tenure. Estimations do not include security of tenure due to data limitations. </t>
  </si>
  <si>
    <t>Proportion of urban population living in slums, informal settlements or inadequate housing.</t>
  </si>
  <si>
    <t>https://data.unhabitat.org/pages/housing-slums-and-informal-settlements</t>
  </si>
  <si>
    <t>AffUrbHouCAHF</t>
  </si>
  <si>
    <t>Affordable Urban Housing</t>
  </si>
  <si>
    <t>CAHF</t>
  </si>
  <si>
    <t>Centre for Affordable Housing Finance in Africa</t>
  </si>
  <si>
    <t>Housing Finance in Africa Yearbook</t>
  </si>
  <si>
    <t>This sub-indicator measures the number of households in urban areas that could afford the cheapest newly built house by a formal developer in the respective country given the lending terms available. Calculated using the ‘price of the cheapest, newly built house by a formal developer or contractor’ indicator against the lending terms’ indicators (mortgage interest rate, term, down payment) for each country where data is available and counted per market income segment for the urban household split. This indicator is a very rough estimate of housing affordability, assuming the availability of mortgage finance and of sufficient housing supply.</t>
  </si>
  <si>
    <t>2015-2021</t>
  </si>
  <si>
    <t>Proportion of urban households who might afford the cheapest (in US$) newly built house by a private developer, given current mortgage financing arrangements</t>
  </si>
  <si>
    <t>https://housingfinanceafrica.org/resources/yearbook/</t>
  </si>
  <si>
    <t xml:space="preserve">A dataset covering 2015 – 2021 has been shared directly by source with MIF on 22 July 2022. The data are, however, also available via CAHF’s website in their Housing Finance in Africa Yearbooks.  </t>
  </si>
  <si>
    <t xml:space="preserve">Data collected before 2015 used a different methodology and is not comparable with data from later iterations and raw data before 2015 was thus not shared by source/included in the IIAG. </t>
  </si>
  <si>
    <t>FoodSec</t>
  </si>
  <si>
    <t>Food Security</t>
  </si>
  <si>
    <t>FAO</t>
  </si>
  <si>
    <t xml:space="preserve">This indicator measures the adequacy of food supply in terms of calories and the variability of food supply as well as the prevalence of moderate or severe food insecurity and undernourishment. </t>
  </si>
  <si>
    <t>AbsUndernourishFAO</t>
  </si>
  <si>
    <t>Absence of Undernourishment</t>
  </si>
  <si>
    <t>Food and Agriculture Organization of the United Nations</t>
  </si>
  <si>
    <t>FAOSTAT</t>
  </si>
  <si>
    <t>Suite of Food Security Indicators</t>
  </si>
  <si>
    <t>This sub-indicator measures the prevalence of undernourishment, expressed as the probability that a randomly selected individual from the population consumes an amount of calories that is insufficient to cover her/his energy requirement for an active and healthy life.</t>
  </si>
  <si>
    <t>Prevalence of undernourishment (percent) (3-year average)</t>
  </si>
  <si>
    <t>https://www.fao.org/faostat/en/#data/FS/metadata</t>
  </si>
  <si>
    <t>Burundi, Equatorial Guinea, Eritrea</t>
  </si>
  <si>
    <t xml:space="preserve">Data at source is a rolling 3-year average of FAO estimates. MIF takes the middle year for calculation purposes. </t>
  </si>
  <si>
    <t xml:space="preserve">Data values below 2.5% are written as &lt;2.5% at source, meaning that they could be anywhere between 0 and 2.5. After consultation with source, these values are coded as 2.5 by MIF, making them equate to the lowest possible value in the data range. </t>
  </si>
  <si>
    <t>DietFoodSupp</t>
  </si>
  <si>
    <t>Dietary &amp; Food Supply</t>
  </si>
  <si>
    <t xml:space="preserve">This sub-indicator measures the adequacy of food supply in terms of calories as well as the variability of the food supply. </t>
  </si>
  <si>
    <t>DietFoodSupFAO</t>
  </si>
  <si>
    <t>Dietary Food Supply</t>
  </si>
  <si>
    <t>This sub-sub-indicator expresses the Dietary Energy Supply (DES) as a percentage of the Average Dietary Energy Requirement (ADER). Each country's or region's average supply of calories for food consumption is normalised by the average dietary energy requirement estimated for its population to provide an index of adequacy of the food supply in terms of calories.</t>
  </si>
  <si>
    <t>Average dietary energy supply adequacy (percent) (3-year average)</t>
  </si>
  <si>
    <t>FoodSuppStabFAO</t>
  </si>
  <si>
    <t>Food Supply Stability</t>
  </si>
  <si>
    <t>This sub-sub-indicator measures the variability of the food supply in kcal/caput/day.</t>
  </si>
  <si>
    <t>Per capita food supply variability (kcal/cap/day)</t>
  </si>
  <si>
    <t>Burundi, Equatorial Guinea, Eritrea, South Sudan</t>
  </si>
  <si>
    <t>AbsModSevFoodInsecFAO</t>
  </si>
  <si>
    <t>Absence of Moderate or Severe Food Insecurity</t>
  </si>
  <si>
    <t>This sub-indicator assesses the prevalence of moderate or severe food insecurity as an estimate of 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</si>
  <si>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Prevalence of moderate or severe food insecurity in the total population (percent) (3-year average)</t>
  </si>
  <si>
    <t>Burundi, Chad, Equatorial Guinea, Eritrea, Gabon, Mali, Morocco, Rwanda</t>
  </si>
  <si>
    <t>LivPovPubPercSocProt</t>
  </si>
  <si>
    <t>Public Perception of Social Protection &amp; Lived Poverty</t>
  </si>
  <si>
    <t>This indicator assesses citizens' lived poverty in terms of food, water and cooking fuel deprivation, citizens' perceptions of their present living conditions, as well as the extent to which citizens are satisfied with how the govenrment is doing at improving the living standards of the poor.</t>
  </si>
  <si>
    <t>PercLivCondAFR</t>
  </si>
  <si>
    <t>Perceived Living Conditions</t>
  </si>
  <si>
    <t xml:space="preserve">This sub-indicator assesses citizens' perceptions of their present living conditions. </t>
  </si>
  <si>
    <t>Your present living conditions</t>
  </si>
  <si>
    <t>AbsLivPov</t>
  </si>
  <si>
    <t>Absence of Lived Poverty</t>
  </si>
  <si>
    <t>This sub-indicator assesses how often citizens have not gone without enough food to eat, enough clean water for home use or enough fuel to cook their food.</t>
  </si>
  <si>
    <t>AbsFoodDepAFR</t>
  </si>
  <si>
    <t>Absence of Food Deprivation</t>
  </si>
  <si>
    <t xml:space="preserve">This sub-sub-indicator assesses how often citizens have not gone without enough food to eat. </t>
  </si>
  <si>
    <t>How often gone without food</t>
  </si>
  <si>
    <t>AbsWatDepAFR</t>
  </si>
  <si>
    <t>Absence of Water Deprivation</t>
  </si>
  <si>
    <t xml:space="preserve">This sub-sub-indicator assesses how often citizens have not gone without enough clean water for home use. </t>
  </si>
  <si>
    <t>How often gone without water</t>
  </si>
  <si>
    <t>AbsCookFuelDepAFR</t>
  </si>
  <si>
    <t>Absence of Cooking Fuel Deprivation</t>
  </si>
  <si>
    <t xml:space="preserve">This sub-sub-indicator assesses how often citizens have not gone without enough fuel to cook their food. </t>
  </si>
  <si>
    <t>How often gone without cooking fuel</t>
  </si>
  <si>
    <t>SatImpLivStanPoorAFR</t>
  </si>
  <si>
    <t>Satisfaction with Improving Living Standards of the Poor</t>
  </si>
  <si>
    <t xml:space="preserve">This sub-indicator assesses the extent to which citizens feel the government is doing well at improving the living standards of the poor. </t>
  </si>
  <si>
    <t>Handling improving living standards of the poor</t>
  </si>
  <si>
    <t>SUSENV</t>
  </si>
  <si>
    <t>SUSTAINABLE ENVIRONMENT</t>
  </si>
  <si>
    <t>This sub-category assesses the extent to which environmental concerns are considered in policy and environmental regulations are enforced, as well as air quality, sustainable use of land and forests and biodiversity protection.</t>
  </si>
  <si>
    <t>PromEnvSust</t>
  </si>
  <si>
    <t>Promotion of Environmental Sustainability</t>
  </si>
  <si>
    <t xml:space="preserve">This indicator assesses the extent to which economic policy considers environmental concerns and government environmental policies foster sustainability and pollution management. </t>
  </si>
  <si>
    <t>EnvPolBS</t>
  </si>
  <si>
    <t>Environmental Policies</t>
  </si>
  <si>
    <t>This sub-indicator assesses the extent to which environmental concerns are effectively taken into account in both macro and microeconomic terms. It considers the extent to which externalisation of costs or inadequate time horizons are avoided or restrained by environmental regulation. In macroeconomic terms, it assesses the extent to which tax and energy policies take ecological goals and measures into account (e.g. promotion of renewable energies, CO2 reduction goals). In microeconomic terms, it assesses the extent to which the government sets incentives for environmentally sound consumption and investments to households and companies. A deeply ingrained awareness of the environment or nature in society may serve as a functional equivalent.</t>
  </si>
  <si>
    <t>Environmental policy</t>
  </si>
  <si>
    <t>EnPolReg</t>
  </si>
  <si>
    <t>Environmental Policies &amp; Regulations</t>
  </si>
  <si>
    <t>This sub-indicator assesses the extent to which environmental policies foster the protection and sustainable use of natural resources and the management of pollution.</t>
  </si>
  <si>
    <t>EnPolRegAfDB</t>
  </si>
  <si>
    <t>This sub-sub-indicator assesses the extent to which environmental policies foster the protection and sustainable use of natural resources and the management of pollution, including air, water, waste, conservation management, coastal zones management, natural resources management.</t>
  </si>
  <si>
    <t>Environmental Policies and Regulations</t>
  </si>
  <si>
    <t>EnPolRegWB</t>
  </si>
  <si>
    <t>This sub-sub-indicator assess the effectiveness of environmental policies and institutions overseeing the protection and use of natural resources and pollution management. The institutional assessment considers cross-cutting issues, including the quality and effectiveness of environmental impact assessment systems and environmental governance factors, namely, access to information, public participation, cross-sectoral coordination, and accountability. In addition, assessments of environmental themes cover air and water pollution, solid and hazardous waste, freshwater resources, marine and coastal resources, ecosystem and biodiversity management, renewable and nonrenewable resources, and climate change</t>
  </si>
  <si>
    <t>CPIA policy and institutions for environmental sustainability rating (1=low to 6=high)</t>
  </si>
  <si>
    <t>EnfEnvPol</t>
  </si>
  <si>
    <t>Enforcement of Environmental Policies</t>
  </si>
  <si>
    <t>WEF/WJP</t>
  </si>
  <si>
    <t>This indicator assesses the extent to which environmental laws and regulations are effectively enforced.</t>
  </si>
  <si>
    <t>EffecEnvProtAuthWJP</t>
  </si>
  <si>
    <t>Effectiveness of Environmental Protection Authorities</t>
  </si>
  <si>
    <t xml:space="preserve">This sub-indicator assesses the extent to which environmental protection authorities enforce environmental laws. This is based on the following criteria:  the extent to which companies comply with the law after notification of violations from environmental protection authorities; firms get audited or inspected by environmental protection authorities as a result of allegations of pollution by neighbours; firms are routinely audited by the environmental protection authorities; it is likely that environmental protection authorities will impose sanctions if violations are detected. </t>
  </si>
  <si>
    <t>Environment</t>
  </si>
  <si>
    <t>For the 2015 edition of the Rule of Law Index, the average for this variable was calculated with questions that have less than five QRQ experts in Sierra Leone. For the 2019 edition of the Rule of Law Index, the average for this variable was calculated with questions that have less than five QRQ experts in Niger and Rwanda.
For the 2015 edition of the Rule of Law Index, one or more questions were removed from the average of the variable due to a failure to validate the data points for these questions in Malawi. For the 2016 edition of the Rule of Law Index, one or more questions were removed from the average of the variable due to a failure to validate the data points for these questions in Malawi and Tanzania. For the 2017/18 edition of the Rule of Law Index, one or more questions were removed from the average of the variable due to a failure to validate the data points for these questions in Malawi and Tanzania. For the 2019 edition of the Rule of Law Index, one or more questions were removed from the average of the variable due to a failure to validate the data points for these questions in Madagascar, Malawi, Rwanda, Sierra Leone and Tanzania. For the 2020 edition of the Rule of Law Index, one or more questions were removed from the average of the variable due to a failure to validate the data points for these questions in Madagascar, Malawi, Rwanda, Sierra Leone and Tanzania. For the 2021 edition of the Rule of Law Index, one or more questions were removed from the average of the variable due to a failure to validate the data points for these questions in Benin, Madagascar, Malawi, Rwanda, Sierra Leone, Sudan and Tanzania.</t>
  </si>
  <si>
    <t>EnfEnvRegWEF</t>
  </si>
  <si>
    <t>Enforcement of Environmental Regulations</t>
  </si>
  <si>
    <t>This sub-indicator assesses the extent to which environmental regulations are enforced.</t>
  </si>
  <si>
    <t>Enforcement of environmental regulations</t>
  </si>
  <si>
    <t>Burkina Faso, Burundi, Central African Republic, Comoros, Congo Republic, Djibouti, Equatorial Guinea, Eritrea, Eswatini, Ethiopia, Gabon, Gambia, Guinea, Guinea-Bissau, Libya, Madagascar, Mauritania, Mozambique, Niger, São Tomé and Príncipe, Seychelles, Somalia, South Sudan, Sudan, Togo, Uganda</t>
  </si>
  <si>
    <t>Liberia</t>
  </si>
  <si>
    <t xml:space="preserve">Variable discontinued in latest Executive Opinion Survey. The data for this variable were collected from a file shared directly by source with MIF in July 2020. </t>
  </si>
  <si>
    <t>AirQual</t>
  </si>
  <si>
    <t>Air Quality</t>
  </si>
  <si>
    <t>HEI&amp;IHME</t>
  </si>
  <si>
    <t>This indicator measures the absence of air pollution both outside and inside the household.</t>
  </si>
  <si>
    <t>AbsAirPolIHME</t>
  </si>
  <si>
    <t>Absence of Air Pollution</t>
  </si>
  <si>
    <t>Health Effects Institute &amp; Institute for Health Metrics and Evaluation</t>
  </si>
  <si>
    <t xml:space="preserve">State of Global Air </t>
  </si>
  <si>
    <t xml:space="preserve">This sub-indicator measures the ratio of disability-adjusted life-years (DALYs) to the population per 100,000 people due to air pollution. </t>
  </si>
  <si>
    <t>DALYs/100,000 Attributable to Air Pollution, All ages</t>
  </si>
  <si>
    <t>https://www.stateofglobalair.org/sites/default/files/documents/2020-10/soga-2020-report-10-26_0.pdf</t>
  </si>
  <si>
    <t>AbsHousAirPolIHME</t>
  </si>
  <si>
    <t>Absence of Household Air Pollution</t>
  </si>
  <si>
    <t>This sub-indicator measures the ratio of disability-adjusted life-years (DALYs) to the population per 100,000 people due to household air pollution. Household air pollution is a mixture of particles and gases resulting from incomplete combustion of fuels used in the home for heating and cooking. This focuses on use of solid fuels (coal, wood, charcoal, dung, peat). In many places, household air pollution is also a key contributor to ambient air pollution, potentially affecting public health more broadly on national and regional spatial scales.</t>
  </si>
  <si>
    <t>DALYs/100,000 Attributable to Household Air Pollution from Solid Fuels, All ages</t>
  </si>
  <si>
    <t>SusUseLandFor</t>
  </si>
  <si>
    <t>Sustainable Use of Land &amp; Forests</t>
  </si>
  <si>
    <t>FAO/WB/WRI</t>
  </si>
  <si>
    <t xml:space="preserve">This indicator measures the extent to which land, soil and forests are used sustainably. </t>
  </si>
  <si>
    <t>SusMgmtLandSoil</t>
  </si>
  <si>
    <t>Sustainable Use of Land &amp; Soil</t>
  </si>
  <si>
    <t>This sub-indicator measures the diversification of agricultural production as well as the extent to which the agricultural area is under certified organic agriculture.</t>
  </si>
  <si>
    <t>DivAgrFAO</t>
  </si>
  <si>
    <t>Diversification of Agriculture</t>
  </si>
  <si>
    <t>Crops and livestock products</t>
  </si>
  <si>
    <t xml:space="preserve">This sub-sub-indicator measures the top five crops produced in a year (tonnes) as a share of overall crop production. </t>
  </si>
  <si>
    <t>Production</t>
  </si>
  <si>
    <t>https://www.fao.org/faostat/en/#data/QCL/metadata</t>
  </si>
  <si>
    <t xml:space="preserve">Score is calculated by MIF using crop production data from the FAOSTAT dataset. The share of the top five crops over the total production of the year is taken as a proxy of crop diversity on the recommendation of the FAOSTAT team. </t>
  </si>
  <si>
    <t>SusAgrFAO</t>
  </si>
  <si>
    <t>Sustainable Agriculture</t>
  </si>
  <si>
    <t>Land use indicators</t>
  </si>
  <si>
    <t>This sub-sub-indicator measures the agricultural area under certified organic agriculture and/or in conversion to organic agriculture as a share in agricultural land. FAO defines organic agriculture as specific and precise standards of production which aim at achieving optimal agro-ecosystems that are socially, ecologically and economically sustainable.</t>
  </si>
  <si>
    <t>Share in Agricultural land: Agriculture area under organic agriculture</t>
  </si>
  <si>
    <t>http://www.fao.org/faostat/en/#data/EL/metadata</t>
  </si>
  <si>
    <t>Botswana, Central African Republic, Chad, Congo Republic, Djibouti, Equatorial Guinea, Eritrea, Gabon, Libya, Mauritania, Seychelles, Somalia, South Sudan</t>
  </si>
  <si>
    <t>SusMgmtFor</t>
  </si>
  <si>
    <t>Sustainable Use of Forests</t>
  </si>
  <si>
    <t>WB/WRI</t>
  </si>
  <si>
    <t>This sub-indicator measures the extent to which primary forest loss and forest depletion are under control.</t>
  </si>
  <si>
    <t>ConPrimForLossWRI</t>
  </si>
  <si>
    <t>Control of Primary Forest Loss</t>
  </si>
  <si>
    <t>WRI</t>
  </si>
  <si>
    <t xml:space="preserve">World Resources Institute </t>
  </si>
  <si>
    <t>Global Forest Watch</t>
  </si>
  <si>
    <t xml:space="preserve">This sub-sub-indicator measures the extent of primary forest loss in the country. Only primary forest areas that overlap with tree cover are considered. Primary forests are among the most biodiverse forests, providing a multitude of ecosystem services, making them crucial to monitor for national land use planning and carbon accounting. Primary forests are defined as "mature natural humid tropical forest cover that has not been completely cleared and regrown in recent history."  Tree cover is defined as all vegetation taller than 5 meters in height as of 2000. 'Loss' indicates the removal or mortality of tree cover and can be due to a variety of factors, including mechanical harvesting, fire, disease, or storm damage. As such, 'loss' does not equate to deforestation. Primary forest loss each year is calculated as a percentage of extent of primary forest as detailed for 2001 in file sent by source. Calculation done by MIF Research team. </t>
  </si>
  <si>
    <t>Humid primary forest loss</t>
  </si>
  <si>
    <t>https://www.globalforestwatch.org/dashboards/global?map=eyJkYXRhc2V0cyI6W3sib3BhY2l0eSI6MC43LCJ2aXNpYmlsaXR5Ijp0cnVlLCJkYXRhc2V0IjoiZmU4YjVmMDMtMGZmOS00YzE4LWJhMzktNzdkY2ZlNjk5MDhmIiwibGF5ZXJzIjpbIjQxMDg2NTU0LTVjYTUtNDU2Yy04MGRkLWY2YmVlNjFiYzQ1ZiJdfSx7ImRhdGFzZXQiOiIwYjAyMDhiNi1iNDI0LTRiNTctOTg0Zi1jYWRkZmEyNWJhMjIiLCJsYXllcnMiOlsiY2MzNTQzMmQtMzhkNy00YTAzLTg3MmUtM2E3MWEyZjU1NWZjIiwiYjQ1MzUwZTMtNWE3Ni00NGNkLWIwYTktNTAzOGEwZDhiZmFlIl0sImJvdW5kYXJ5Ijp0cnVlLCJvcGFjaXR5IjoxLCJ2aXNpYmlsaXR5Ijp0cnVlfSx7ImRhdGFzZXQiOiJiNTg0OTU0Yy0wZDhkLTQwYzYtODU5Yy1mM2ZkZjNjMmM1ZGYiLCJsYXllcnMiOlsiNDlhODBlNzAtZWM1Mi00ZWY4LWJjYzYtZmIyNzcxZDk1YjJjIl0sIm9wYWNpdHkiOjEsInZpc2liaWxpdHkiOnRydWUsInRpbWVsaW5lUGFyYW1zIjp7InN0YXJ0RGF0ZSI6IjIwMDItMDEtMDEiLCJlbmREYXRlIjoiMjAxOS0xMi0zMSIsInRyaW1FbmREYXRlIjoiMjAxOS0xMi0zMSJ9LCJwYXJhbXMiOnsidGhyZXNoIjozMCwidmlzaWJpbGl0eSI6dHJ1ZX19XSwiY2VudGVyIjp7ImxhdCI6MjcsImxuZyI6MTJ9LCJiZWFyaW5nIjowLCJwaXRjaCI6MCwiem9vbSI6Mn0%3D&amp;modalMeta=widget_primary_forest_loss</t>
  </si>
  <si>
    <t>Algeria, Botswana, Burkina Faso, Cabo Verde, Chad, Djibouti, Egypt, Eritrea, Eswatini, Libya, Mali, Mauritania, Mauritius, Morocco, Namibia, Niger, São Tomé and Príncipe, Seychelles, Somalia, Sudan, Tunisia</t>
  </si>
  <si>
    <t xml:space="preserve">Data was shared directly by source and is not available in the same format on the source’s website. Raw data scores for this variable are available via the IIAG Excel and online data portal. </t>
  </si>
  <si>
    <t xml:space="preserve">Humid primary forest loss each year is calculated as a percentage of extent of primary forest as detailed for 2001 in file sent by source. Calculation done by MIF. </t>
  </si>
  <si>
    <t>AbsForestDepWB</t>
  </si>
  <si>
    <t>Absence of Forest Depletion</t>
  </si>
  <si>
    <t>This sub-sub-indicator measures net forest depletion. Net forest depletion is calculated as the product of unit resource rents and the excess of roundwood harvest over natural growth. If growth exceeds harvest, this figure is zero.</t>
  </si>
  <si>
    <t>Adjusted savings: net forest depletion (% of GNI)</t>
  </si>
  <si>
    <t>LandWatBiodiv</t>
  </si>
  <si>
    <t>Land &amp; Water Biodiversity Protection</t>
  </si>
  <si>
    <t>ENACT/WB/Yale&amp;Columbia</t>
  </si>
  <si>
    <t>This indicator measures the extent to which terrestrial biomes and marine areas are protected as well as the extent to which flora and fauna are not illegally exploited.</t>
  </si>
  <si>
    <t>TerrBioProtEPI</t>
  </si>
  <si>
    <t>Terrestrial Biome Protection</t>
  </si>
  <si>
    <t>Yale&amp;Columbia</t>
  </si>
  <si>
    <t>Yale Center for Environmental Law &amp; Policy &amp; Center for International Earth Science Information Network Earth Institute, Columbia University</t>
  </si>
  <si>
    <t>Environmental Performance Index</t>
  </si>
  <si>
    <t>This sub-indicator assesses a country’s efforts to achieve 30% protection for all biomes within its borders. It is calculated using the percentage of each country’s biomes covered by protected areas. It is calculated using the proportions of the area of each of a country’s biome types that are covered by protected areas and then constructing a weighted sum of the protection percentages for all biomes within that country. Protection percentages are weighted according to the prevalence of each biome type within that country.</t>
  </si>
  <si>
    <t>Terrestrial Biome Protection (national) (TBN.raw)</t>
  </si>
  <si>
    <t>0-30</t>
  </si>
  <si>
    <t>https://epi.yale.edu/downloads/2024-epi-report.pdf</t>
  </si>
  <si>
    <t>MarProtArWB</t>
  </si>
  <si>
    <t>Marine Protected Areas</t>
  </si>
  <si>
    <t>This sub-indicator measures the proportion of marine areas that are protected. Marine protected areas are areas of intertidal or subtidal terrain, and overlying water and associated flora and fauna and historical and cultural features, that have been reserved by law or other effective means to protect part or all of the enclosed environment.</t>
  </si>
  <si>
    <t>Marine protected areas (% of territorial waters)</t>
  </si>
  <si>
    <t>Botswana, Burkina Faso, Burundi, Central African Republic, Chad, Eswatini, Ethiopia, Lesotho, Malawi, Mali, Niger, Rwanda, Somalia, South Sudan, Uganda, Zambia, Zimbabwe</t>
  </si>
  <si>
    <t>AbsExpFlorFauna</t>
  </si>
  <si>
    <t>Absence of Illegal Exploitation of Biodiversity</t>
  </si>
  <si>
    <t xml:space="preserve">This sub-indicator assesses the extent of organised crime related to flora and fauna, including illicit trade, possession and poaching of protected species. </t>
  </si>
  <si>
    <t>AbsExpFloraENACT</t>
  </si>
  <si>
    <t>Absence of Illegal Exploitation of Flora</t>
  </si>
  <si>
    <t>This sub-sub-indicator assesses the extent of organised crime related to flora. Flora crimes involve the illicit trade as well as possession of species covered by the Convention on International Trade in Endangered Species of Wild Fauna and Flora (CITES) as well as other species protected under national law.</t>
  </si>
  <si>
    <t>Flora crimes</t>
  </si>
  <si>
    <t>AbsExpFaunaENACT</t>
  </si>
  <si>
    <t>Absence of Illegal Exploitation of Fauna</t>
  </si>
  <si>
    <t xml:space="preserve">This sub-sub-indicator assesses the extent of organised crime related to fauna. Fauna crimes involve the poaching, illicit trade in as well as possession of species covered by the Convention on International Trade in Endangered Species of Wild Fauna and Flora (CITES) as well as other species protected under national law. Protected marine species, and illegal, unreported and unregulated fishing is also considered. </t>
  </si>
  <si>
    <t>Fauna crimes</t>
  </si>
  <si>
    <t>Eritrea, Somalia, South Sudan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</si>
</sst>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u/>
      <sz val="11"/>
      <color theme="10"/>
      <name val="Aptos Narrow"/>
      <family val="2"/>
      <scheme val="minor"/>
    </font>
    <font>
      <b/>
      <sz val="10"/>
      <color theme="1"/>
      <name val="Bliss 2 Light"/>
      <family val="3"/>
    </font>
    <font>
      <sz val="10"/>
      <color theme="1"/>
      <name val="Bliss 2 Light"/>
      <family val="3"/>
    </font>
    <font>
      <i/>
      <sz val="10"/>
      <color rgb="FF000000"/>
      <name val="Bliss 2 Light"/>
      <family val="3"/>
    </font>
    <font>
      <sz val="10"/>
      <color rgb="FF000000"/>
      <name val="Bliss 2 Light"/>
      <family val="3"/>
    </font>
    <font>
      <b/>
      <sz val="10"/>
      <color theme="1"/>
      <name val="Bliss 2 Light"/>
    </font>
    <font>
      <sz val="10"/>
      <name val="Bliss 2 Light"/>
      <family val="3"/>
    </font>
    <font>
      <sz val="10"/>
      <color rgb="FFFF0000"/>
      <name val="Bliss 2 Light"/>
      <family val="3"/>
    </font>
    <font>
      <sz val="10"/>
      <color theme="1"/>
      <name val="Aptos Narrow"/>
      <family val="2"/>
      <scheme val="minor"/>
    </font>
    <font>
      <b/>
      <sz val="10"/>
      <color rgb="FF000000"/>
      <name val="Bliss 2 Light"/>
      <family val="3"/>
    </font>
    <font>
      <b/>
      <i/>
      <sz val="10"/>
      <color rgb="FF000000"/>
      <name val="Bliss 2 Light"/>
      <family val="3"/>
    </font>
    <font>
      <sz val="10"/>
      <color theme="1"/>
      <name val="Bliss 2 Light"/>
    </font>
    <font>
      <sz val="10"/>
      <color rgb="FF000000"/>
      <name val="Courier New"/>
      <family val="3"/>
    </font>
    <font>
      <u/>
      <sz val="10"/>
      <color rgb="FF008080"/>
      <name val="Bliss 2 Light"/>
      <family val="3"/>
    </font>
  </fonts>
  <fills count="5">
    <fill>
      <patternFill patternType="none"/>
    </fill>
    <fill>
      <patternFill patternType="gray125"/>
    </fill>
    <fill>
      <patternFill patternType="solid">
        <fgColor theme="2" tint="-0.249977111117893"/>
        <bgColor indexed="64"/>
      </patternFill>
    </fill>
    <fill>
      <patternFill patternType="solid">
        <fgColor theme="1" tint="0.34998626667073579"/>
        <bgColor indexed="64"/>
      </patternFill>
    </fill>
    <fill>
      <patternFill patternType="solid">
        <fgColor theme="0"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2" fillId="2" borderId="0" xfId="0" applyFont="1" applyFill="1"/>
    <xf numFmtId="0" fontId="2" fillId="2" borderId="0" xfId="0" applyFont="1" applyFill="1" applyAlignment="1">
      <alignment horizontal="left"/>
    </xf>
    <xf numFmtId="0" fontId="3" fillId="3" borderId="0" xfId="0" applyFont="1" applyFill="1"/>
    <xf numFmtId="0" fontId="2" fillId="3" borderId="0" xfId="0" applyFont="1" applyFill="1"/>
    <xf numFmtId="0" fontId="2" fillId="3" borderId="0" xfId="0" quotePrefix="1" applyFont="1" applyFill="1"/>
    <xf numFmtId="0" fontId="2" fillId="4" borderId="0" xfId="0" applyFont="1" applyFill="1"/>
    <xf numFmtId="0" fontId="2" fillId="4" borderId="0" xfId="0" quotePrefix="1" applyFont="1" applyFill="1"/>
    <xf numFmtId="0" fontId="3" fillId="0" borderId="0" xfId="0" applyFont="1"/>
    <xf numFmtId="0" fontId="5" fillId="0" borderId="0" xfId="0" applyFont="1" applyAlignment="1">
      <alignment vertical="center"/>
    </xf>
    <xf numFmtId="14" fontId="3" fillId="0" borderId="0" xfId="0" applyNumberFormat="1" applyFont="1" applyAlignment="1">
      <alignment horizontal="left"/>
    </xf>
    <xf numFmtId="16" fontId="3" fillId="0" borderId="0" xfId="0" quotePrefix="1" applyNumberFormat="1" applyFont="1"/>
    <xf numFmtId="0" fontId="6" fillId="0" borderId="0" xfId="0" applyFont="1"/>
    <xf numFmtId="0" fontId="3" fillId="0" borderId="0" xfId="0" applyFont="1" applyAlignment="1">
      <alignment horizontal="left"/>
    </xf>
    <xf numFmtId="0" fontId="3" fillId="0" borderId="0" xfId="0" quotePrefix="1" applyFont="1"/>
    <xf numFmtId="0" fontId="10" fillId="4" borderId="0" xfId="0" applyFont="1" applyFill="1" applyAlignment="1">
      <alignment vertical="center"/>
    </xf>
    <xf numFmtId="0" fontId="2" fillId="0" borderId="0" xfId="0" applyFont="1"/>
    <xf numFmtId="3" fontId="3" fillId="0" borderId="0" xfId="0" applyNumberFormat="1" applyFont="1" applyAlignment="1">
      <alignment horizontal="left"/>
    </xf>
    <xf numFmtId="0" fontId="7" fillId="0" borderId="0" xfId="0" applyFont="1"/>
    <xf numFmtId="14" fontId="3" fillId="0" borderId="0" xfId="0" applyNumberFormat="1" applyFont="1"/>
    <xf numFmtId="0" fontId="8" fillId="0" borderId="0" xfId="0" applyFont="1"/>
    <xf numFmtId="0" fontId="12" fillId="0" borderId="0" xfId="0" applyFont="1"/>
    <xf numFmtId="0" fontId="9" fillId="0" borderId="1" xfId="0" applyFont="1" applyBorder="1"/>
    <xf numFmtId="0" fontId="1" fillId="0" borderId="0" xfId="1" applyFill="1"/>
    <xf numFmtId="0" fontId="10" fillId="3" borderId="0" xfId="0" applyFont="1" applyFill="1" applyAlignment="1">
      <alignment vertical="center"/>
    </xf>
    <xf numFmtId="0" fontId="9"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MIF/Research%20Department/IIAG/IIAG%20-%20ALL%20YEARS/2018%20IIAG/8.%20Project%20Management%20Files/2018%20IIAG%20Data%20Availability%20Gri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ork/clients/ibrahim_foundation/2015%20Mo%20Ibrahim%20Index/IIAG_2014_DEV_v0.5.3.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ailability"/>
      <sheetName val="Schedule"/>
    </sheetNames>
    <sheetDataSet>
      <sheetData sheetId="0">
        <row r="48">
          <cell r="A48" t="str">
            <v>Available now</v>
          </cell>
        </row>
        <row r="49">
          <cell r="A49" t="str">
            <v>June</v>
          </cell>
        </row>
        <row r="50">
          <cell r="A50" t="str">
            <v>July</v>
          </cell>
        </row>
        <row r="51">
          <cell r="A51" t="str">
            <v>TBC</v>
          </cell>
        </row>
        <row r="53">
          <cell r="A53">
            <v>2015</v>
          </cell>
        </row>
        <row r="54">
          <cell r="A54">
            <v>2016</v>
          </cell>
        </row>
        <row r="55">
          <cell r="A55">
            <v>2017</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d_Control"/>
      <sheetName val="bld_Palette"/>
      <sheetName val="bld_Assets"/>
      <sheetName val="bld_Todo"/>
      <sheetName val="bldFrench"/>
      <sheetName val="tblLookups"/>
      <sheetName val="tblLinks"/>
      <sheetName val="tblSources"/>
      <sheetName val="tblIndiSets"/>
      <sheetName val="tblIndicators"/>
      <sheetName val="tblComposites"/>
      <sheetName val="tblAddData"/>
      <sheetName val="tblData"/>
      <sheetName val="tblStdErr"/>
      <sheetName val="tblCountryData"/>
      <sheetName val="tblCountries"/>
      <sheetName val="Enable_Macros"/>
      <sheetName val="Welcome"/>
      <sheetName val="About_0"/>
      <sheetName val="About_1"/>
      <sheetName val="About_2"/>
      <sheetName val="About_3"/>
      <sheetName val="About_4"/>
      <sheetName val="iKF"/>
      <sheetName val="Key_Findings_0"/>
      <sheetName val="Key_Findings_1"/>
      <sheetName val="iCountry"/>
      <sheetName val="Country_Explorer_0"/>
      <sheetName val="Country_Explorer_1"/>
      <sheetName val="Country_Explorer_2"/>
      <sheetName val="Country_Explorer_3"/>
      <sheetName val="iDT_Group"/>
      <sheetName val="Country_Explorer_4"/>
      <sheetName val="iDT"/>
      <sheetName val="Country_Explorer_5"/>
      <sheetName val="Country_Explorer_6"/>
      <sheetName val="tblBGIndi"/>
      <sheetName val="Country_Explorer_7"/>
      <sheetName val="iGroup"/>
      <sheetName val="Group_Explorer_0"/>
      <sheetName val="Group_Explorer_1"/>
      <sheetName val="Group_Explorer_2"/>
      <sheetName val="Group_Explorer_3"/>
      <sheetName val="iTS_Charts"/>
      <sheetName val="Group_Explorer_4"/>
      <sheetName val="Group_Explorer_5"/>
      <sheetName val="Series_Explorer_0"/>
      <sheetName val="Series_Explorer_1"/>
      <sheetName val="iSeries"/>
      <sheetName val="Series_Explorer_2"/>
      <sheetName val="Compare_0"/>
      <sheetName val="Compare_1"/>
      <sheetName val="uxbWorks"/>
      <sheetName val="iText"/>
      <sheetName val="uxbHL"/>
      <sheetName val="uxbStru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AI2" t="str">
            <v xml:space="preserve"> </v>
          </cell>
        </row>
        <row r="3">
          <cell r="AI3" t="str">
            <v>Algeria</v>
          </cell>
        </row>
        <row r="4">
          <cell r="AI4" t="str">
            <v>Angola</v>
          </cell>
        </row>
        <row r="5">
          <cell r="AI5" t="str">
            <v>Benin</v>
          </cell>
        </row>
        <row r="6">
          <cell r="AI6" t="str">
            <v>Botswana</v>
          </cell>
        </row>
        <row r="7">
          <cell r="AI7" t="str">
            <v>Burkina Faso</v>
          </cell>
        </row>
        <row r="8">
          <cell r="AI8" t="str">
            <v>Burundi</v>
          </cell>
        </row>
        <row r="9">
          <cell r="AI9" t="str">
            <v>Cabo Verde</v>
          </cell>
        </row>
        <row r="10">
          <cell r="AI10" t="str">
            <v>Cameroon</v>
          </cell>
        </row>
        <row r="11">
          <cell r="AI11" t="str">
            <v>CAR</v>
          </cell>
        </row>
        <row r="12">
          <cell r="AI12" t="str">
            <v>Chad</v>
          </cell>
        </row>
        <row r="13">
          <cell r="AI13" t="str">
            <v>Comoros</v>
          </cell>
        </row>
        <row r="14">
          <cell r="AI14" t="str">
            <v>Congo</v>
          </cell>
        </row>
        <row r="15">
          <cell r="AI15" t="str">
            <v>Côte d'Ivoire</v>
          </cell>
        </row>
        <row r="16">
          <cell r="AI16" t="str">
            <v>DRC</v>
          </cell>
        </row>
        <row r="17">
          <cell r="AI17" t="str">
            <v>Djibouti</v>
          </cell>
        </row>
        <row r="18">
          <cell r="AI18" t="str">
            <v>Egypt</v>
          </cell>
        </row>
        <row r="19">
          <cell r="AI19" t="str">
            <v>Equatorial Guinea</v>
          </cell>
        </row>
        <row r="20">
          <cell r="AI20" t="str">
            <v>Eritrea</v>
          </cell>
        </row>
        <row r="21">
          <cell r="AI21" t="str">
            <v>Ethiopia</v>
          </cell>
        </row>
        <row r="22">
          <cell r="AI22" t="str">
            <v>Gabon</v>
          </cell>
        </row>
        <row r="23">
          <cell r="AI23" t="str">
            <v>Gambia</v>
          </cell>
        </row>
        <row r="24">
          <cell r="AI24" t="str">
            <v>Ghana</v>
          </cell>
        </row>
        <row r="25">
          <cell r="AI25" t="str">
            <v>Guinea</v>
          </cell>
        </row>
        <row r="26">
          <cell r="AI26" t="str">
            <v>Guinea-Bissau</v>
          </cell>
        </row>
        <row r="27">
          <cell r="AI27" t="str">
            <v>Kenya</v>
          </cell>
        </row>
        <row r="28">
          <cell r="AI28" t="str">
            <v>Lesotho</v>
          </cell>
        </row>
        <row r="29">
          <cell r="AI29" t="str">
            <v>Liberia</v>
          </cell>
        </row>
        <row r="30">
          <cell r="AI30" t="str">
            <v>Libya</v>
          </cell>
        </row>
        <row r="31">
          <cell r="AI31" t="str">
            <v>Madagascar</v>
          </cell>
        </row>
        <row r="32">
          <cell r="AI32" t="str">
            <v>Malawi</v>
          </cell>
        </row>
        <row r="33">
          <cell r="AI33" t="str">
            <v>Mali</v>
          </cell>
        </row>
        <row r="34">
          <cell r="AI34" t="str">
            <v>Mauritania</v>
          </cell>
        </row>
        <row r="35">
          <cell r="AI35" t="str">
            <v>Mauritius</v>
          </cell>
        </row>
        <row r="36">
          <cell r="AI36" t="str">
            <v>Morocco</v>
          </cell>
        </row>
        <row r="37">
          <cell r="AI37" t="str">
            <v>Mozambique</v>
          </cell>
        </row>
        <row r="38">
          <cell r="AI38" t="str">
            <v>Namibia</v>
          </cell>
        </row>
        <row r="39">
          <cell r="AI39" t="str">
            <v>Niger</v>
          </cell>
        </row>
        <row r="40">
          <cell r="AI40" t="str">
            <v>Nigeria</v>
          </cell>
        </row>
        <row r="41">
          <cell r="AI41" t="str">
            <v>Rwanda</v>
          </cell>
        </row>
        <row r="42">
          <cell r="AI42" t="str">
            <v>São Tomé &amp; Príncipe</v>
          </cell>
        </row>
        <row r="43">
          <cell r="AI43" t="str">
            <v>Senegal</v>
          </cell>
        </row>
        <row r="44">
          <cell r="AI44" t="str">
            <v>Seychelles</v>
          </cell>
        </row>
        <row r="45">
          <cell r="AI45" t="str">
            <v>Sierra Leone</v>
          </cell>
        </row>
        <row r="46">
          <cell r="AI46" t="str">
            <v>Somalia</v>
          </cell>
        </row>
        <row r="47">
          <cell r="AI47" t="str">
            <v>South Africa</v>
          </cell>
        </row>
        <row r="48">
          <cell r="AI48" t="str">
            <v>Swaziland</v>
          </cell>
        </row>
        <row r="49">
          <cell r="AI49" t="str">
            <v>Tanzania</v>
          </cell>
        </row>
        <row r="50">
          <cell r="AI50" t="str">
            <v>Togo</v>
          </cell>
        </row>
        <row r="51">
          <cell r="AI51" t="str">
            <v>Tunisia</v>
          </cell>
        </row>
        <row r="52">
          <cell r="AI52" t="str">
            <v>Uganda</v>
          </cell>
        </row>
        <row r="53">
          <cell r="AI53" t="str">
            <v>Zambia</v>
          </cell>
        </row>
        <row r="54">
          <cell r="AI54" t="str">
            <v>Zimbabwe</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190">
          <cell r="D190" t="str">
            <v>Central Africa</v>
          </cell>
        </row>
      </sheetData>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datatopics.worldbank.org/world-development-indicators/sources-and-methods.html" TargetMode="External"/><Relationship Id="rId18" Type="http://schemas.openxmlformats.org/officeDocument/2006/relationships/hyperlink" Target="https://ucdp.uu.se/downloads/nsos/ucdp-nonstate-221.pdf" TargetMode="External"/><Relationship Id="rId26" Type="http://schemas.openxmlformats.org/officeDocument/2006/relationships/hyperlink" Target="https://tcg.uis.unesco.org/wp-content/uploads/sites/4/2021/09/Metadata-4.3.2.pdf" TargetMode="External"/><Relationship Id="rId39" Type="http://schemas.openxmlformats.org/officeDocument/2006/relationships/hyperlink" Target="https://acleddata.com/resources/general-guides/" TargetMode="External"/><Relationship Id="rId21" Type="http://schemas.openxmlformats.org/officeDocument/2006/relationships/hyperlink" Target="https://www.who.int/data/gho/data/indicators/indicator-details/GHO/deaths-due-to-tuberculosis-among-hiv-negative-people-(per-100-000-population)" TargetMode="External"/><Relationship Id="rId34" Type="http://schemas.openxmlformats.org/officeDocument/2006/relationships/hyperlink" Target="https://www.internationalbudget.org/sites/default/files/2020-04/2019_Methodology_EN.pdf" TargetMode="External"/><Relationship Id="rId42" Type="http://schemas.openxmlformats.org/officeDocument/2006/relationships/hyperlink" Target="https://www.afdb.org/en/documents/economic-brief-africa-infrastructure-development-index-aidi-2020-july-2020" TargetMode="External"/><Relationship Id="rId7" Type="http://schemas.openxmlformats.org/officeDocument/2006/relationships/hyperlink" Target="https://freedomhouse.org/reports/freedom-world/freedom-world-research-methodology" TargetMode="External"/><Relationship Id="rId2" Type="http://schemas.openxmlformats.org/officeDocument/2006/relationships/hyperlink" Target="https://freedomhouse.org/reports/freedom-world/freedom-world-research-methodology" TargetMode="External"/><Relationship Id="rId16" Type="http://schemas.openxmlformats.org/officeDocument/2006/relationships/hyperlink" Target="https://cpia.afdb.org/documents/public/cpia2018-questionnaire-en.pdf" TargetMode="External"/><Relationship Id="rId20" Type="http://schemas.openxmlformats.org/officeDocument/2006/relationships/hyperlink" Target="https://www.who.int/data/gho/data/indicators/indicator-details/GHO/estimated-number-of-malaria-deaths" TargetMode="External"/><Relationship Id="rId29" Type="http://schemas.openxmlformats.org/officeDocument/2006/relationships/hyperlink" Target="https://tcg.uis.unesco.org/wp-content/uploads/sites/4/2021/09/Metadata-4.1.2.pdf" TargetMode="External"/><Relationship Id="rId41" Type="http://schemas.openxmlformats.org/officeDocument/2006/relationships/hyperlink" Target="https://acleddata.com/resources/general-guides/" TargetMode="External"/><Relationship Id="rId1" Type="http://schemas.openxmlformats.org/officeDocument/2006/relationships/hyperlink" Target="https://freedomhouse.org/reports/freedom-world/freedom-world-research-methodology" TargetMode="External"/><Relationship Id="rId6" Type="http://schemas.openxmlformats.org/officeDocument/2006/relationships/hyperlink" Target="https://freedomhouse.org/reports/freedom-world/freedom-world-research-methodology" TargetMode="External"/><Relationship Id="rId11" Type="http://schemas.openxmlformats.org/officeDocument/2006/relationships/hyperlink" Target="https://cpia.afdb.org/documents/public/cpia2015-questionnaire-en.pdf" TargetMode="External"/><Relationship Id="rId24" Type="http://schemas.openxmlformats.org/officeDocument/2006/relationships/hyperlink" Target="https://www.who.int/data/gho/data/indicators/indicator-details/GHO/hepatitis-b-(hepb3)-immunization-coverage-among-1-year-olds-(-)" TargetMode="External"/><Relationship Id="rId32" Type="http://schemas.openxmlformats.org/officeDocument/2006/relationships/hyperlink" Target="https://databank.worldbank.org/source/human-capital-index" TargetMode="External"/><Relationship Id="rId37" Type="http://schemas.openxmlformats.org/officeDocument/2006/relationships/hyperlink" Target="http://www.fao.org/faostat/en/" TargetMode="External"/><Relationship Id="rId40" Type="http://schemas.openxmlformats.org/officeDocument/2006/relationships/hyperlink" Target="https://acleddata.com/resources/general-guides/" TargetMode="External"/><Relationship Id="rId5" Type="http://schemas.openxmlformats.org/officeDocument/2006/relationships/hyperlink" Target="https://freedomhouse.org/reports/freedom-world/freedom-world-research-methodology" TargetMode="External"/><Relationship Id="rId15" Type="http://schemas.openxmlformats.org/officeDocument/2006/relationships/hyperlink" Target="http://datatopics.worldbank.org/world-development-indicators/sources-and-methods.html" TargetMode="External"/><Relationship Id="rId23" Type="http://schemas.openxmlformats.org/officeDocument/2006/relationships/hyperlink" Target="https://www.who.int/data/gho/data/indicators/indicator-details/GHO/diphtheria-tetanus-toxoid-and-pertussis-(dtp3)-immunization-coverage-among-1-year-olds-(-)" TargetMode="External"/><Relationship Id="rId28" Type="http://schemas.openxmlformats.org/officeDocument/2006/relationships/hyperlink" Target="https://tcg.uis.unesco.org/wp-content/uploads/sites/4/2021/09/Metadata-4.1.2.pdf" TargetMode="External"/><Relationship Id="rId36" Type="http://schemas.openxmlformats.org/officeDocument/2006/relationships/hyperlink" Target="https://www.fao.org/faostat/en/" TargetMode="External"/><Relationship Id="rId10" Type="http://schemas.openxmlformats.org/officeDocument/2006/relationships/hyperlink" Target="https://cpia.afdb.org/documents/public/cpia2018-questionnaire-en.pdf" TargetMode="External"/><Relationship Id="rId19" Type="http://schemas.openxmlformats.org/officeDocument/2006/relationships/hyperlink" Target="https://www.who.int/data/gho/data/indicators/indicator-details/GHO/out-of-pocket-expenditure-as-percentage-of-current-health-expenditure-(che)-(-)" TargetMode="External"/><Relationship Id="rId31" Type="http://schemas.openxmlformats.org/officeDocument/2006/relationships/hyperlink" Target="https://datatopics.worldbank.org/statisticalcapacity/SCIdashboard.aspx" TargetMode="External"/><Relationship Id="rId44" Type="http://schemas.openxmlformats.org/officeDocument/2006/relationships/printerSettings" Target="../printerSettings/printerSettings1.bin"/><Relationship Id="rId4" Type="http://schemas.openxmlformats.org/officeDocument/2006/relationships/hyperlink" Target="https://freedomhouse.org/reports/freedom-world/freedom-world-research-methodology" TargetMode="External"/><Relationship Id="rId9" Type="http://schemas.openxmlformats.org/officeDocument/2006/relationships/hyperlink" Target="https://cpia.afdb.org/documents/public/cpia2018-questionnaire-en.pdf" TargetMode="External"/><Relationship Id="rId14" Type="http://schemas.openxmlformats.org/officeDocument/2006/relationships/hyperlink" Target="http://datatopics.worldbank.org/world-development-indicators/sources-and-methods.html" TargetMode="External"/><Relationship Id="rId22" Type="http://schemas.openxmlformats.org/officeDocument/2006/relationships/hyperlink" Target="https://www.who.int/data/gho/data/indicators/indicator-details/GHO/measles-containing-vaccine-first-dose-(mcv1)-immunization-coverage-among-1-year-olds-(-)" TargetMode="External"/><Relationship Id="rId27" Type="http://schemas.openxmlformats.org/officeDocument/2006/relationships/hyperlink" Target="https://tcg.uis.unesco.org/wp-content/uploads/sites/4/2021/09/Metadata-4.1.2.pdf" TargetMode="External"/><Relationship Id="rId30" Type="http://schemas.openxmlformats.org/officeDocument/2006/relationships/hyperlink" Target="https://www.imf.org/external/pubs/ft/wp/2016/wp1605.pdf" TargetMode="External"/><Relationship Id="rId35" Type="http://schemas.openxmlformats.org/officeDocument/2006/relationships/hyperlink" Target="https://afrobarometer.org/surveys-and-methods" TargetMode="External"/><Relationship Id="rId43" Type="http://schemas.openxmlformats.org/officeDocument/2006/relationships/hyperlink" Target="https://wbl.worldbank.org/en/methodology" TargetMode="External"/><Relationship Id="rId8" Type="http://schemas.openxmlformats.org/officeDocument/2006/relationships/hyperlink" Target="https://cpia.afdb.org/documents/public/cpia2018-questionnaire-en.pdf" TargetMode="External"/><Relationship Id="rId3" Type="http://schemas.openxmlformats.org/officeDocument/2006/relationships/hyperlink" Target="https://freedomhouse.org/reports/freedom-world/freedom-world-research-methodology" TargetMode="External"/><Relationship Id="rId12" Type="http://schemas.openxmlformats.org/officeDocument/2006/relationships/hyperlink" Target="https://data.unhabitat.org/pages/housing-slums-and-informal-settlements" TargetMode="External"/><Relationship Id="rId17" Type="http://schemas.openxmlformats.org/officeDocument/2006/relationships/hyperlink" Target="https://washdata.org/monitoring/methods" TargetMode="External"/><Relationship Id="rId25" Type="http://schemas.openxmlformats.org/officeDocument/2006/relationships/hyperlink" Target="https://www.upu.int/en/Universal-Postal-Union/Activities/Research-Publications/Integrated-Index-for-Postal-Development" TargetMode="External"/><Relationship Id="rId33" Type="http://schemas.openxmlformats.org/officeDocument/2006/relationships/hyperlink" Target="http://uis.unesco.org/en/glossary-term/parity-indices-femalemale-ruralurban-bottomtop-wealth-quintiles-and-others-such" TargetMode="External"/><Relationship Id="rId38" Type="http://schemas.openxmlformats.org/officeDocument/2006/relationships/hyperlink" Target="https://wid.world/methodolo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BA1F-B9AF-420F-A517-2A0A9AC467B2}">
  <dimension ref="A1:AN493"/>
  <sheetViews>
    <sheetView tabSelected="1" topLeftCell="Y85" zoomScale="119" zoomScaleNormal="90" workbookViewId="0">
      <selection activeCell="AE95" sqref="AE95"/>
    </sheetView>
  </sheetViews>
  <sheetFormatPr baseColWidth="10" defaultColWidth="8.83203125" defaultRowHeight="13"/>
  <cols>
    <col min="1" max="1" width="4.5" style="8" customWidth="1"/>
    <col min="2" max="2" width="9" style="8" customWidth="1"/>
    <col min="3" max="3" width="8.83203125" style="8" customWidth="1"/>
    <col min="4" max="4" width="35.83203125" style="8" customWidth="1"/>
    <col min="5" max="5" width="5.83203125" style="8" customWidth="1"/>
    <col min="6" max="6" width="15" style="8" bestFit="1" customWidth="1"/>
    <col min="7" max="7" width="9" style="8" customWidth="1"/>
    <col min="8" max="8" width="75.33203125" style="8" bestFit="1" customWidth="1"/>
    <col min="9" max="9" width="44.5" style="8" bestFit="1" customWidth="1"/>
    <col min="10" max="10" width="27.5" style="8" customWidth="1"/>
    <col min="11" max="11" width="35.83203125" style="8" customWidth="1"/>
    <col min="12" max="12" width="13.5" style="8" customWidth="1"/>
    <col min="13" max="16" width="27.6640625" style="8" customWidth="1"/>
    <col min="17" max="17" width="17.33203125" style="8" customWidth="1"/>
    <col min="18" max="19" width="49.83203125" style="8" customWidth="1"/>
    <col min="20" max="20" width="53.6640625" style="8" customWidth="1"/>
    <col min="21" max="21" width="22" style="8" customWidth="1"/>
    <col min="22" max="22" width="15.5" style="8" customWidth="1"/>
    <col min="23" max="23" width="24" style="8" customWidth="1"/>
    <col min="24" max="25" width="35.83203125" style="8" customWidth="1"/>
    <col min="26" max="26" width="15.83203125" style="8" customWidth="1"/>
    <col min="27" max="27" width="50.5" style="8" customWidth="1"/>
    <col min="28" max="63" width="8.83203125" style="8" customWidth="1"/>
    <col min="64" max="16384" width="8.83203125" style="8"/>
  </cols>
  <sheetData>
    <row r="1" spans="1:31" s="1" customFormat="1" ht="23.5" customHeight="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31" s="4" customFormat="1">
      <c r="A2" s="3">
        <v>1</v>
      </c>
      <c r="B2" s="4" t="s">
        <v>29</v>
      </c>
      <c r="E2" s="4">
        <v>0</v>
      </c>
      <c r="F2" s="4" t="str">
        <f t="shared" ref="F2:F12" si="0">IF(E2=0,"Overall",IF(E2=1,"Category",IF(E2=2,"Sub-category",IF(E2=3,"Indicator",IF(E2=4,"Sub-indicator", "Sub-sub-indicator")))))</f>
        <v>Overall</v>
      </c>
      <c r="G2" s="4">
        <v>0</v>
      </c>
      <c r="H2" s="4" t="s">
        <v>30</v>
      </c>
      <c r="I2" s="5" t="s">
        <v>31</v>
      </c>
      <c r="J2" s="4" t="s">
        <v>32</v>
      </c>
      <c r="K2" s="4" t="s">
        <v>32</v>
      </c>
      <c r="L2" s="4" t="s">
        <v>33</v>
      </c>
      <c r="M2" s="5" t="s">
        <v>34</v>
      </c>
      <c r="N2" s="4" t="s">
        <v>31</v>
      </c>
      <c r="O2" s="4" t="s">
        <v>31</v>
      </c>
      <c r="P2" s="4" t="s">
        <v>31</v>
      </c>
      <c r="Q2" s="5" t="s">
        <v>35</v>
      </c>
      <c r="R2" s="4" t="s">
        <v>31</v>
      </c>
      <c r="S2" s="4" t="s">
        <v>31</v>
      </c>
      <c r="T2" s="4" t="s">
        <v>31</v>
      </c>
      <c r="U2" s="5" t="s">
        <v>34</v>
      </c>
      <c r="V2" s="4" t="s">
        <v>31</v>
      </c>
      <c r="W2" s="4" t="s">
        <v>31</v>
      </c>
      <c r="X2" s="4" t="s">
        <v>31</v>
      </c>
      <c r="Y2" s="5" t="s">
        <v>31</v>
      </c>
      <c r="Z2" s="4" t="s">
        <v>31</v>
      </c>
      <c r="AC2" s="5"/>
    </row>
    <row r="3" spans="1:31" s="6" customFormat="1">
      <c r="A3" s="6">
        <v>2</v>
      </c>
      <c r="B3" s="6" t="s">
        <v>36</v>
      </c>
      <c r="C3" s="6" t="s">
        <v>29</v>
      </c>
      <c r="D3" s="6" t="s">
        <v>30</v>
      </c>
      <c r="E3" s="6">
        <v>1</v>
      </c>
      <c r="F3" s="6" t="str">
        <f t="shared" si="0"/>
        <v>Category</v>
      </c>
      <c r="G3" s="6">
        <v>0</v>
      </c>
      <c r="H3" s="6" t="s">
        <v>37</v>
      </c>
      <c r="I3" s="7" t="s">
        <v>34</v>
      </c>
      <c r="J3" s="6" t="s">
        <v>38</v>
      </c>
      <c r="K3" s="6" t="s">
        <v>31</v>
      </c>
      <c r="L3" s="6" t="s">
        <v>33</v>
      </c>
      <c r="M3" s="6" t="s">
        <v>31</v>
      </c>
      <c r="N3" s="6" t="s">
        <v>31</v>
      </c>
      <c r="O3" s="6" t="s">
        <v>31</v>
      </c>
      <c r="P3" s="6" t="s">
        <v>31</v>
      </c>
      <c r="Q3" s="6" t="s">
        <v>39</v>
      </c>
      <c r="R3" s="6" t="s">
        <v>31</v>
      </c>
      <c r="S3" s="6" t="s">
        <v>31</v>
      </c>
      <c r="T3" s="6" t="s">
        <v>31</v>
      </c>
      <c r="U3" s="6" t="s">
        <v>31</v>
      </c>
      <c r="V3" s="6" t="s">
        <v>31</v>
      </c>
      <c r="W3" s="6" t="s">
        <v>31</v>
      </c>
      <c r="X3" s="6" t="s">
        <v>31</v>
      </c>
      <c r="Y3" s="6" t="s">
        <v>31</v>
      </c>
      <c r="Z3" s="6" t="s">
        <v>31</v>
      </c>
    </row>
    <row r="4" spans="1:31">
      <c r="A4" s="8">
        <v>3</v>
      </c>
      <c r="B4" s="8" t="s">
        <v>40</v>
      </c>
      <c r="C4" s="8" t="s">
        <v>36</v>
      </c>
      <c r="D4" s="8" t="s">
        <v>37</v>
      </c>
      <c r="E4" s="16">
        <v>2</v>
      </c>
      <c r="F4" s="16" t="str">
        <f t="shared" si="0"/>
        <v>Sub-category</v>
      </c>
      <c r="G4" s="8">
        <v>0</v>
      </c>
      <c r="H4" s="8" t="s">
        <v>41</v>
      </c>
      <c r="I4" s="8" t="s">
        <v>31</v>
      </c>
      <c r="J4" s="8" t="s">
        <v>31</v>
      </c>
      <c r="K4" s="8" t="s">
        <v>37</v>
      </c>
      <c r="L4" s="8" t="s">
        <v>33</v>
      </c>
      <c r="M4" s="8" t="s">
        <v>31</v>
      </c>
      <c r="N4" s="8" t="s">
        <v>31</v>
      </c>
      <c r="O4" s="8" t="s">
        <v>31</v>
      </c>
      <c r="P4" s="8" t="s">
        <v>31</v>
      </c>
      <c r="Q4" s="9" t="s">
        <v>42</v>
      </c>
      <c r="R4" s="8" t="s">
        <v>31</v>
      </c>
      <c r="S4" s="8" t="s">
        <v>31</v>
      </c>
      <c r="T4" s="8" t="s">
        <v>31</v>
      </c>
      <c r="U4" s="8" t="s">
        <v>31</v>
      </c>
      <c r="V4" s="8" t="s">
        <v>31</v>
      </c>
      <c r="W4" s="8" t="s">
        <v>31</v>
      </c>
      <c r="X4" s="8" t="s">
        <v>31</v>
      </c>
      <c r="Y4" s="8" t="s">
        <v>31</v>
      </c>
      <c r="Z4" s="8" t="s">
        <v>31</v>
      </c>
    </row>
    <row r="5" spans="1:31">
      <c r="A5" s="8">
        <v>4</v>
      </c>
      <c r="B5" s="8" t="s">
        <v>43</v>
      </c>
      <c r="C5" s="8" t="s">
        <v>40</v>
      </c>
      <c r="D5" s="8" t="s">
        <v>41</v>
      </c>
      <c r="E5" s="12">
        <v>3</v>
      </c>
      <c r="F5" s="12" t="str">
        <f t="shared" si="0"/>
        <v>Indicator</v>
      </c>
      <c r="G5" s="8">
        <v>0</v>
      </c>
      <c r="H5" s="12" t="s">
        <v>44</v>
      </c>
      <c r="I5" s="8" t="s">
        <v>45</v>
      </c>
      <c r="J5" s="8" t="s">
        <v>41</v>
      </c>
      <c r="K5" s="8" t="s">
        <v>37</v>
      </c>
      <c r="L5" s="8" t="s">
        <v>33</v>
      </c>
      <c r="M5" s="8" t="s">
        <v>31</v>
      </c>
      <c r="N5" s="8" t="s">
        <v>31</v>
      </c>
      <c r="O5" s="8" t="s">
        <v>31</v>
      </c>
      <c r="P5" s="8" t="s">
        <v>31</v>
      </c>
      <c r="Q5" s="9" t="s">
        <v>46</v>
      </c>
      <c r="R5" s="8" t="s">
        <v>31</v>
      </c>
      <c r="S5" s="10" t="s">
        <v>31</v>
      </c>
      <c r="T5" s="8" t="s">
        <v>31</v>
      </c>
      <c r="U5" s="8" t="s">
        <v>31</v>
      </c>
      <c r="V5" s="8" t="s">
        <v>31</v>
      </c>
      <c r="W5" s="8" t="s">
        <v>31</v>
      </c>
      <c r="X5" s="8" t="s">
        <v>31</v>
      </c>
      <c r="Y5" s="8" t="s">
        <v>31</v>
      </c>
      <c r="Z5" s="8" t="s">
        <v>31</v>
      </c>
    </row>
    <row r="6" spans="1:31" ht="15">
      <c r="A6" s="8">
        <v>5</v>
      </c>
      <c r="B6" s="8" t="s">
        <v>47</v>
      </c>
      <c r="C6" s="8" t="s">
        <v>43</v>
      </c>
      <c r="D6" s="8" t="s">
        <v>44</v>
      </c>
      <c r="E6" s="8">
        <v>4</v>
      </c>
      <c r="F6" s="8" t="str">
        <f t="shared" si="0"/>
        <v>Sub-indicator</v>
      </c>
      <c r="G6" s="8">
        <v>1</v>
      </c>
      <c r="H6" s="8" t="s">
        <v>48</v>
      </c>
      <c r="I6" s="8" t="s">
        <v>49</v>
      </c>
      <c r="J6" s="8" t="s">
        <v>41</v>
      </c>
      <c r="K6" s="8" t="s">
        <v>37</v>
      </c>
      <c r="L6" s="8" t="s">
        <v>50</v>
      </c>
      <c r="M6" s="8" t="s">
        <v>51</v>
      </c>
      <c r="N6" s="8" t="s">
        <v>31</v>
      </c>
      <c r="O6" s="8" t="s">
        <v>31</v>
      </c>
      <c r="P6" s="8" t="s">
        <v>31</v>
      </c>
      <c r="Q6" s="9" t="s">
        <v>52</v>
      </c>
      <c r="R6" s="8" t="s">
        <v>53</v>
      </c>
      <c r="S6" s="10">
        <v>45468</v>
      </c>
      <c r="T6" s="8" t="s">
        <v>54</v>
      </c>
      <c r="U6" s="8" t="s">
        <v>55</v>
      </c>
      <c r="V6" s="8" t="s">
        <v>56</v>
      </c>
      <c r="W6" s="8" t="s">
        <v>57</v>
      </c>
      <c r="X6" s="8" t="s">
        <v>58</v>
      </c>
      <c r="Y6" s="8" t="s">
        <v>58</v>
      </c>
      <c r="Z6" s="8" t="s">
        <v>59</v>
      </c>
      <c r="AA6" s="8" t="s">
        <v>60</v>
      </c>
      <c r="AE6"/>
    </row>
    <row r="7" spans="1:31">
      <c r="A7" s="8">
        <v>6</v>
      </c>
      <c r="B7" s="8" t="s">
        <v>61</v>
      </c>
      <c r="C7" s="8" t="s">
        <v>43</v>
      </c>
      <c r="D7" s="8" t="s">
        <v>44</v>
      </c>
      <c r="E7" s="8">
        <v>4</v>
      </c>
      <c r="F7" s="8" t="str">
        <f t="shared" si="0"/>
        <v>Sub-indicator</v>
      </c>
      <c r="G7" s="8">
        <v>0</v>
      </c>
      <c r="H7" s="8" t="s">
        <v>62</v>
      </c>
      <c r="I7" s="8" t="s">
        <v>45</v>
      </c>
      <c r="J7" s="8" t="s">
        <v>41</v>
      </c>
      <c r="K7" s="8" t="s">
        <v>37</v>
      </c>
      <c r="L7" s="8" t="s">
        <v>33</v>
      </c>
      <c r="M7" s="8" t="s">
        <v>31</v>
      </c>
      <c r="N7" s="8" t="s">
        <v>31</v>
      </c>
      <c r="O7" s="8" t="s">
        <v>31</v>
      </c>
      <c r="P7" s="8" t="s">
        <v>31</v>
      </c>
      <c r="Q7" s="9" t="s">
        <v>63</v>
      </c>
      <c r="R7" s="8" t="s">
        <v>31</v>
      </c>
      <c r="S7" s="10" t="s">
        <v>31</v>
      </c>
      <c r="T7" s="8" t="s">
        <v>31</v>
      </c>
      <c r="U7" s="8" t="s">
        <v>31</v>
      </c>
      <c r="V7" s="8" t="s">
        <v>31</v>
      </c>
      <c r="W7" s="8" t="s">
        <v>31</v>
      </c>
      <c r="X7" s="8" t="s">
        <v>31</v>
      </c>
      <c r="Y7" s="8" t="s">
        <v>31</v>
      </c>
      <c r="Z7" s="8" t="s">
        <v>31</v>
      </c>
    </row>
    <row r="8" spans="1:31">
      <c r="A8" s="8">
        <v>7</v>
      </c>
      <c r="B8" s="8" t="s">
        <v>64</v>
      </c>
      <c r="C8" s="8" t="s">
        <v>61</v>
      </c>
      <c r="D8" s="8" t="s">
        <v>62</v>
      </c>
      <c r="E8" s="8">
        <v>5</v>
      </c>
      <c r="F8" s="8" t="str">
        <f t="shared" si="0"/>
        <v>Sub-sub-indicator</v>
      </c>
      <c r="G8" s="8">
        <v>1</v>
      </c>
      <c r="H8" s="8" t="s">
        <v>65</v>
      </c>
      <c r="I8" s="8" t="s">
        <v>66</v>
      </c>
      <c r="J8" s="8" t="s">
        <v>41</v>
      </c>
      <c r="K8" s="8" t="s">
        <v>37</v>
      </c>
      <c r="L8" s="8" t="s">
        <v>67</v>
      </c>
      <c r="M8" s="8" t="s">
        <v>68</v>
      </c>
      <c r="N8" s="8" t="s">
        <v>31</v>
      </c>
      <c r="O8" s="8" t="s">
        <v>31</v>
      </c>
      <c r="P8" s="8" t="s">
        <v>31</v>
      </c>
      <c r="Q8" s="9" t="s">
        <v>69</v>
      </c>
      <c r="R8" s="8" t="s">
        <v>53</v>
      </c>
      <c r="S8" s="10">
        <v>45467</v>
      </c>
      <c r="T8" s="8" t="s">
        <v>70</v>
      </c>
      <c r="U8" s="8" t="s">
        <v>55</v>
      </c>
      <c r="V8" s="8" t="s">
        <v>56</v>
      </c>
      <c r="W8" s="8" t="s">
        <v>71</v>
      </c>
      <c r="X8" s="8" t="s">
        <v>58</v>
      </c>
      <c r="Y8" s="8" t="s">
        <v>58</v>
      </c>
      <c r="Z8" s="8" t="s">
        <v>31</v>
      </c>
      <c r="AA8" s="8" t="s">
        <v>72</v>
      </c>
    </row>
    <row r="9" spans="1:31" ht="15">
      <c r="A9" s="8">
        <v>8</v>
      </c>
      <c r="B9" s="8" t="s">
        <v>73</v>
      </c>
      <c r="C9" s="8" t="s">
        <v>61</v>
      </c>
      <c r="D9" s="8" t="s">
        <v>62</v>
      </c>
      <c r="E9" s="8">
        <v>5</v>
      </c>
      <c r="F9" s="8" t="str">
        <f t="shared" si="0"/>
        <v>Sub-sub-indicator</v>
      </c>
      <c r="G9" s="8">
        <v>1</v>
      </c>
      <c r="H9" s="8" t="s">
        <v>74</v>
      </c>
      <c r="I9" s="8" t="s">
        <v>49</v>
      </c>
      <c r="J9" s="8" t="s">
        <v>41</v>
      </c>
      <c r="K9" s="8" t="s">
        <v>37</v>
      </c>
      <c r="L9" s="8" t="s">
        <v>50</v>
      </c>
      <c r="M9" s="8" t="s">
        <v>51</v>
      </c>
      <c r="N9" s="8" t="s">
        <v>31</v>
      </c>
      <c r="O9" s="8" t="s">
        <v>31</v>
      </c>
      <c r="P9" s="8" t="s">
        <v>31</v>
      </c>
      <c r="Q9" s="9" t="s">
        <v>75</v>
      </c>
      <c r="R9" s="8" t="s">
        <v>53</v>
      </c>
      <c r="S9" s="10">
        <v>45468</v>
      </c>
      <c r="T9" s="8" t="s">
        <v>54</v>
      </c>
      <c r="U9" s="8" t="s">
        <v>55</v>
      </c>
      <c r="V9" s="8" t="s">
        <v>56</v>
      </c>
      <c r="W9" s="8" t="s">
        <v>76</v>
      </c>
      <c r="X9" s="8" t="s">
        <v>58</v>
      </c>
      <c r="Y9" s="8" t="s">
        <v>58</v>
      </c>
      <c r="Z9" s="8" t="s">
        <v>77</v>
      </c>
      <c r="AA9" s="8" t="s">
        <v>78</v>
      </c>
      <c r="AE9"/>
    </row>
    <row r="10" spans="1:31">
      <c r="A10" s="8">
        <v>9</v>
      </c>
      <c r="B10" s="8" t="s">
        <v>79</v>
      </c>
      <c r="C10" s="8" t="s">
        <v>40</v>
      </c>
      <c r="D10" s="8" t="s">
        <v>41</v>
      </c>
      <c r="E10" s="12">
        <v>3</v>
      </c>
      <c r="F10" s="12" t="str">
        <f t="shared" si="0"/>
        <v>Indicator</v>
      </c>
      <c r="G10" s="8">
        <v>0</v>
      </c>
      <c r="H10" s="12" t="s">
        <v>80</v>
      </c>
      <c r="I10" s="8" t="s">
        <v>81</v>
      </c>
      <c r="J10" s="8" t="s">
        <v>41</v>
      </c>
      <c r="K10" s="8" t="s">
        <v>37</v>
      </c>
      <c r="L10" s="8" t="s">
        <v>33</v>
      </c>
      <c r="M10" s="8" t="s">
        <v>31</v>
      </c>
      <c r="N10" s="8" t="s">
        <v>31</v>
      </c>
      <c r="O10" s="8" t="s">
        <v>31</v>
      </c>
      <c r="P10" s="8" t="s">
        <v>31</v>
      </c>
      <c r="Q10" s="9" t="s">
        <v>82</v>
      </c>
      <c r="R10" s="8" t="s">
        <v>31</v>
      </c>
      <c r="S10" s="10" t="s">
        <v>31</v>
      </c>
      <c r="T10" s="8" t="s">
        <v>31</v>
      </c>
      <c r="U10" s="8" t="s">
        <v>31</v>
      </c>
      <c r="V10" s="8" t="s">
        <v>31</v>
      </c>
      <c r="W10" s="8" t="s">
        <v>31</v>
      </c>
      <c r="X10" s="8" t="s">
        <v>31</v>
      </c>
      <c r="Y10" s="8" t="s">
        <v>31</v>
      </c>
      <c r="Z10" s="8" t="s">
        <v>31</v>
      </c>
    </row>
    <row r="11" spans="1:31">
      <c r="A11" s="8">
        <v>10</v>
      </c>
      <c r="B11" s="8" t="s">
        <v>83</v>
      </c>
      <c r="C11" s="8" t="s">
        <v>79</v>
      </c>
      <c r="D11" s="8" t="s">
        <v>80</v>
      </c>
      <c r="E11" s="8">
        <v>4</v>
      </c>
      <c r="F11" s="8" t="str">
        <f t="shared" si="0"/>
        <v>Sub-indicator</v>
      </c>
      <c r="G11" s="8">
        <v>0</v>
      </c>
      <c r="H11" s="8" t="s">
        <v>84</v>
      </c>
      <c r="I11" s="8" t="s">
        <v>81</v>
      </c>
      <c r="J11" s="8" t="s">
        <v>41</v>
      </c>
      <c r="K11" s="8" t="s">
        <v>37</v>
      </c>
      <c r="L11" s="8" t="s">
        <v>33</v>
      </c>
      <c r="M11" s="8" t="s">
        <v>31</v>
      </c>
      <c r="N11" s="8" t="s">
        <v>31</v>
      </c>
      <c r="O11" s="8" t="s">
        <v>31</v>
      </c>
      <c r="P11" s="8" t="s">
        <v>31</v>
      </c>
      <c r="Q11" s="9" t="s">
        <v>85</v>
      </c>
      <c r="R11" s="8" t="s">
        <v>31</v>
      </c>
      <c r="S11" s="10" t="s">
        <v>31</v>
      </c>
      <c r="T11" s="8" t="s">
        <v>31</v>
      </c>
      <c r="U11" s="8" t="s">
        <v>31</v>
      </c>
      <c r="V11" s="8" t="s">
        <v>31</v>
      </c>
      <c r="W11" s="8" t="s">
        <v>31</v>
      </c>
      <c r="X11" s="8" t="s">
        <v>31</v>
      </c>
      <c r="Y11" s="8" t="s">
        <v>31</v>
      </c>
      <c r="Z11" s="8" t="s">
        <v>31</v>
      </c>
    </row>
    <row r="12" spans="1:31">
      <c r="A12" s="8">
        <v>11</v>
      </c>
      <c r="B12" s="8" t="s">
        <v>86</v>
      </c>
      <c r="C12" s="8" t="s">
        <v>83</v>
      </c>
      <c r="D12" s="8" t="s">
        <v>84</v>
      </c>
      <c r="E12" s="8">
        <v>5</v>
      </c>
      <c r="F12" s="8" t="str">
        <f t="shared" si="0"/>
        <v>Sub-sub-indicator</v>
      </c>
      <c r="G12" s="8">
        <v>1</v>
      </c>
      <c r="H12" s="8" t="s">
        <v>87</v>
      </c>
      <c r="I12" s="8" t="s">
        <v>49</v>
      </c>
      <c r="J12" s="8" t="s">
        <v>41</v>
      </c>
      <c r="K12" s="8" t="s">
        <v>37</v>
      </c>
      <c r="L12" s="8" t="s">
        <v>50</v>
      </c>
      <c r="M12" s="8" t="s">
        <v>51</v>
      </c>
      <c r="N12" s="8" t="s">
        <v>31</v>
      </c>
      <c r="O12" s="8" t="s">
        <v>31</v>
      </c>
      <c r="P12" s="8" t="s">
        <v>31</v>
      </c>
      <c r="Q12" s="9" t="s">
        <v>88</v>
      </c>
      <c r="R12" s="8" t="s">
        <v>53</v>
      </c>
      <c r="S12" s="10">
        <v>45468</v>
      </c>
      <c r="T12" s="8" t="s">
        <v>89</v>
      </c>
      <c r="U12" s="8" t="s">
        <v>55</v>
      </c>
      <c r="V12" s="8" t="s">
        <v>56</v>
      </c>
      <c r="W12" s="8" t="s">
        <v>57</v>
      </c>
      <c r="X12" s="8" t="s">
        <v>58</v>
      </c>
      <c r="Y12" s="8" t="s">
        <v>58</v>
      </c>
      <c r="Z12" s="8" t="s">
        <v>77</v>
      </c>
      <c r="AA12" s="8" t="s">
        <v>90</v>
      </c>
    </row>
    <row r="13" spans="1:31">
      <c r="A13" s="8">
        <v>12</v>
      </c>
      <c r="B13" s="8" t="s">
        <v>91</v>
      </c>
      <c r="C13" s="8" t="s">
        <v>83</v>
      </c>
      <c r="D13" s="8" t="s">
        <v>84</v>
      </c>
      <c r="E13" s="8">
        <v>5</v>
      </c>
      <c r="F13" s="8" t="s">
        <v>92</v>
      </c>
      <c r="G13" s="8">
        <v>1</v>
      </c>
      <c r="H13" s="8" t="s">
        <v>93</v>
      </c>
      <c r="I13" s="8" t="s">
        <v>94</v>
      </c>
      <c r="J13" s="8" t="s">
        <v>41</v>
      </c>
      <c r="K13" s="8" t="s">
        <v>37</v>
      </c>
      <c r="L13" s="8" t="s">
        <v>95</v>
      </c>
      <c r="M13" s="8" t="s">
        <v>95</v>
      </c>
      <c r="N13" s="8" t="s">
        <v>31</v>
      </c>
      <c r="O13" s="8" t="s">
        <v>31</v>
      </c>
      <c r="P13" s="8" t="s">
        <v>31</v>
      </c>
      <c r="Q13" s="9" t="s">
        <v>96</v>
      </c>
      <c r="R13" s="8" t="s">
        <v>97</v>
      </c>
      <c r="S13" s="10">
        <v>45448</v>
      </c>
      <c r="T13" s="8" t="s">
        <v>98</v>
      </c>
      <c r="U13" s="8" t="s">
        <v>99</v>
      </c>
      <c r="V13" s="8" t="s">
        <v>56</v>
      </c>
      <c r="W13" s="8" t="s">
        <v>100</v>
      </c>
      <c r="X13" s="8" t="s">
        <v>58</v>
      </c>
      <c r="Y13" s="8" t="s">
        <v>58</v>
      </c>
      <c r="Z13" s="8" t="s">
        <v>31</v>
      </c>
      <c r="AA13" s="8" t="s">
        <v>101</v>
      </c>
    </row>
    <row r="14" spans="1:31">
      <c r="A14" s="8">
        <v>13</v>
      </c>
      <c r="B14" s="8" t="s">
        <v>102</v>
      </c>
      <c r="C14" s="8" t="s">
        <v>79</v>
      </c>
      <c r="D14" s="8" t="s">
        <v>80</v>
      </c>
      <c r="E14" s="8">
        <v>4</v>
      </c>
      <c r="F14" s="8" t="str">
        <f>IF(E14=0,"Overall",IF(E14=1,"Category",IF(E14=2,"Sub-category",IF(E14=3,"Indicator",IF(E14=4,"Sub-indicator", "Sub-sub-indicator")))))</f>
        <v>Sub-indicator</v>
      </c>
      <c r="G14" s="8">
        <v>1</v>
      </c>
      <c r="H14" s="8" t="s">
        <v>103</v>
      </c>
      <c r="I14" s="8" t="s">
        <v>49</v>
      </c>
      <c r="J14" s="8" t="s">
        <v>41</v>
      </c>
      <c r="K14" s="8" t="s">
        <v>37</v>
      </c>
      <c r="L14" s="8" t="s">
        <v>50</v>
      </c>
      <c r="M14" s="8" t="s">
        <v>51</v>
      </c>
      <c r="N14" s="8" t="s">
        <v>31</v>
      </c>
      <c r="O14" s="8" t="s">
        <v>31</v>
      </c>
      <c r="P14" s="8" t="s">
        <v>31</v>
      </c>
      <c r="Q14" s="9" t="s">
        <v>104</v>
      </c>
      <c r="R14" s="8" t="s">
        <v>53</v>
      </c>
      <c r="S14" s="10">
        <v>45468</v>
      </c>
      <c r="T14" s="8" t="s">
        <v>89</v>
      </c>
      <c r="U14" s="8" t="s">
        <v>55</v>
      </c>
      <c r="V14" s="8" t="s">
        <v>56</v>
      </c>
      <c r="W14" s="8" t="s">
        <v>57</v>
      </c>
      <c r="X14" s="8" t="s">
        <v>58</v>
      </c>
      <c r="Y14" s="8" t="s">
        <v>58</v>
      </c>
      <c r="Z14" s="8" t="s">
        <v>59</v>
      </c>
      <c r="AA14" s="8" t="s">
        <v>105</v>
      </c>
    </row>
    <row r="15" spans="1:31">
      <c r="A15" s="8">
        <v>14</v>
      </c>
      <c r="B15" s="8" t="s">
        <v>106</v>
      </c>
      <c r="C15" s="8" t="s">
        <v>40</v>
      </c>
      <c r="D15" s="8" t="s">
        <v>41</v>
      </c>
      <c r="E15" s="12">
        <v>3</v>
      </c>
      <c r="F15" s="12" t="str">
        <f>IF(E15=0,"Overall",IF(E15=1,"Category",IF(E15=2,"Sub-category",IF(E15=3,"Indicator",IF(E15=4,"Sub-indicator", "Sub-sub-indicator")))))</f>
        <v>Indicator</v>
      </c>
      <c r="G15" s="8">
        <v>0</v>
      </c>
      <c r="H15" s="12" t="s">
        <v>107</v>
      </c>
      <c r="I15" s="8" t="s">
        <v>108</v>
      </c>
      <c r="J15" s="8" t="s">
        <v>41</v>
      </c>
      <c r="K15" s="8" t="s">
        <v>37</v>
      </c>
      <c r="L15" s="8" t="s">
        <v>33</v>
      </c>
      <c r="M15" s="8" t="s">
        <v>31</v>
      </c>
      <c r="N15" s="8" t="s">
        <v>31</v>
      </c>
      <c r="O15" s="8" t="s">
        <v>31</v>
      </c>
      <c r="P15" s="8" t="s">
        <v>31</v>
      </c>
      <c r="Q15" s="9" t="s">
        <v>109</v>
      </c>
      <c r="R15" s="8" t="s">
        <v>31</v>
      </c>
      <c r="S15" s="10" t="s">
        <v>31</v>
      </c>
      <c r="T15" s="8" t="s">
        <v>31</v>
      </c>
      <c r="U15" s="8" t="s">
        <v>31</v>
      </c>
      <c r="V15" s="8" t="s">
        <v>31</v>
      </c>
      <c r="W15" s="8" t="s">
        <v>31</v>
      </c>
      <c r="X15" s="8" t="s">
        <v>31</v>
      </c>
      <c r="Y15" s="8" t="s">
        <v>31</v>
      </c>
      <c r="Z15" s="8" t="s">
        <v>31</v>
      </c>
    </row>
    <row r="16" spans="1:31">
      <c r="A16" s="8">
        <v>15</v>
      </c>
      <c r="B16" s="8" t="s">
        <v>110</v>
      </c>
      <c r="C16" s="8" t="s">
        <v>106</v>
      </c>
      <c r="D16" s="8" t="s">
        <v>107</v>
      </c>
      <c r="E16" s="8">
        <v>4</v>
      </c>
      <c r="F16" s="8" t="str">
        <f>IF(E16=0,"Overall",IF(E16=1,"Category",IF(E16=2,"Sub-category",IF(E16=3,"Indicator",IF(E16=4,"Sub-indicator", "Sub-sub-indicator")))))</f>
        <v>Sub-indicator</v>
      </c>
      <c r="G16" s="8">
        <v>1</v>
      </c>
      <c r="H16" s="8" t="s">
        <v>111</v>
      </c>
      <c r="I16" s="8" t="s">
        <v>112</v>
      </c>
      <c r="J16" s="8" t="s">
        <v>41</v>
      </c>
      <c r="K16" s="8" t="s">
        <v>37</v>
      </c>
      <c r="L16" s="8" t="s">
        <v>113</v>
      </c>
      <c r="M16" s="8" t="s">
        <v>114</v>
      </c>
      <c r="N16" s="8" t="s">
        <v>31</v>
      </c>
      <c r="O16" s="8" t="s">
        <v>31</v>
      </c>
      <c r="P16" s="8" t="s">
        <v>31</v>
      </c>
      <c r="Q16" s="9" t="s">
        <v>115</v>
      </c>
      <c r="R16" s="8" t="s">
        <v>53</v>
      </c>
      <c r="S16" s="10">
        <v>45454</v>
      </c>
      <c r="T16" s="8" t="s">
        <v>116</v>
      </c>
      <c r="U16" s="8" t="s">
        <v>55</v>
      </c>
      <c r="V16" s="8" t="s">
        <v>56</v>
      </c>
      <c r="W16" s="8" t="s">
        <v>117</v>
      </c>
      <c r="X16" s="8" t="s">
        <v>118</v>
      </c>
      <c r="Y16" s="8" t="s">
        <v>119</v>
      </c>
      <c r="Z16" s="8" t="s">
        <v>31</v>
      </c>
      <c r="AA16" s="8" t="s">
        <v>120</v>
      </c>
      <c r="AB16" s="8" t="s">
        <v>121</v>
      </c>
    </row>
    <row r="17" spans="1:28">
      <c r="A17" s="8">
        <v>16</v>
      </c>
      <c r="B17" s="8" t="s">
        <v>122</v>
      </c>
      <c r="C17" s="8" t="s">
        <v>106</v>
      </c>
      <c r="D17" s="8" t="s">
        <v>107</v>
      </c>
      <c r="E17" s="8">
        <v>4</v>
      </c>
      <c r="F17" s="8" t="str">
        <f>IF(E17=0,"Overall",IF(E17=1,"Category",IF(E17=2,"Sub-category",IF(E17=3,"Indicator",IF(E17=4,"Sub-indicator", "Sub-sub-indicator")))))</f>
        <v>Sub-indicator</v>
      </c>
      <c r="G17" s="8">
        <v>1</v>
      </c>
      <c r="H17" s="8" t="s">
        <v>123</v>
      </c>
      <c r="I17" s="8" t="s">
        <v>124</v>
      </c>
      <c r="J17" s="8" t="s">
        <v>41</v>
      </c>
      <c r="K17" s="8" t="s">
        <v>37</v>
      </c>
      <c r="L17" s="8" t="s">
        <v>125</v>
      </c>
      <c r="M17" s="8" t="s">
        <v>126</v>
      </c>
      <c r="N17" s="8" t="s">
        <v>31</v>
      </c>
      <c r="O17" s="8" t="s">
        <v>31</v>
      </c>
      <c r="P17" s="8" t="s">
        <v>31</v>
      </c>
      <c r="Q17" s="9" t="s">
        <v>127</v>
      </c>
      <c r="R17" s="8" t="s">
        <v>53</v>
      </c>
      <c r="S17" s="10">
        <v>45467</v>
      </c>
      <c r="T17" s="8" t="s">
        <v>128</v>
      </c>
      <c r="U17" s="8" t="s">
        <v>55</v>
      </c>
      <c r="V17" s="8" t="s">
        <v>56</v>
      </c>
      <c r="W17" s="8" t="s">
        <v>129</v>
      </c>
      <c r="X17" s="8" t="s">
        <v>58</v>
      </c>
      <c r="Y17" s="8" t="s">
        <v>58</v>
      </c>
      <c r="Z17" s="8" t="s">
        <v>59</v>
      </c>
      <c r="AA17" s="8" t="s">
        <v>130</v>
      </c>
    </row>
    <row r="18" spans="1:28">
      <c r="A18" s="8">
        <v>17</v>
      </c>
      <c r="B18" s="8" t="s">
        <v>131</v>
      </c>
      <c r="C18" s="8" t="s">
        <v>40</v>
      </c>
      <c r="D18" s="8" t="s">
        <v>41</v>
      </c>
      <c r="E18" s="12">
        <v>3</v>
      </c>
      <c r="F18" s="12" t="str">
        <f>IF(E18=0,"Overall",IF(E18=1,"Category",IF(E18=2,"Sub-category",IF(E18=3,"Indicator",IF(E18=4,"Sub-indicator", "Sub-sub-indicator")))))</f>
        <v>Indicator</v>
      </c>
      <c r="G18" s="8">
        <v>0</v>
      </c>
      <c r="H18" s="12" t="s">
        <v>132</v>
      </c>
      <c r="I18" s="8" t="s">
        <v>133</v>
      </c>
      <c r="J18" s="8" t="s">
        <v>41</v>
      </c>
      <c r="K18" s="8" t="s">
        <v>37</v>
      </c>
      <c r="L18" s="8" t="s">
        <v>33</v>
      </c>
      <c r="M18" s="8" t="s">
        <v>31</v>
      </c>
      <c r="N18" s="8" t="s">
        <v>31</v>
      </c>
      <c r="O18" s="8" t="s">
        <v>31</v>
      </c>
      <c r="P18" s="8" t="s">
        <v>31</v>
      </c>
      <c r="Q18" s="9" t="s">
        <v>134</v>
      </c>
      <c r="R18" s="8" t="s">
        <v>31</v>
      </c>
      <c r="S18" s="10" t="s">
        <v>31</v>
      </c>
      <c r="T18" s="8" t="s">
        <v>31</v>
      </c>
      <c r="U18" s="8" t="s">
        <v>31</v>
      </c>
      <c r="V18" s="8" t="s">
        <v>31</v>
      </c>
      <c r="W18" s="8" t="s">
        <v>31</v>
      </c>
      <c r="X18" s="8" t="s">
        <v>31</v>
      </c>
      <c r="Y18" s="8" t="s">
        <v>31</v>
      </c>
      <c r="Z18" s="8" t="s">
        <v>31</v>
      </c>
    </row>
    <row r="19" spans="1:28">
      <c r="A19" s="8">
        <v>18</v>
      </c>
      <c r="B19" s="8" t="s">
        <v>135</v>
      </c>
      <c r="C19" s="8" t="s">
        <v>131</v>
      </c>
      <c r="D19" s="8" t="s">
        <v>132</v>
      </c>
      <c r="E19" s="8">
        <v>4</v>
      </c>
      <c r="F19" s="8" t="s">
        <v>136</v>
      </c>
      <c r="G19" s="8">
        <v>1</v>
      </c>
      <c r="H19" s="8" t="s">
        <v>137</v>
      </c>
      <c r="I19" s="8" t="s">
        <v>138</v>
      </c>
      <c r="J19" s="8" t="s">
        <v>41</v>
      </c>
      <c r="K19" s="8" t="s">
        <v>37</v>
      </c>
      <c r="L19" s="8" t="s">
        <v>139</v>
      </c>
      <c r="M19" s="8" t="s">
        <v>140</v>
      </c>
      <c r="N19" s="8" t="s">
        <v>31</v>
      </c>
      <c r="O19" s="8" t="s">
        <v>31</v>
      </c>
      <c r="P19" s="8" t="s">
        <v>31</v>
      </c>
      <c r="Q19" s="9" t="s">
        <v>141</v>
      </c>
      <c r="R19" s="17" t="s">
        <v>142</v>
      </c>
      <c r="S19" s="10">
        <v>45447</v>
      </c>
      <c r="T19" s="8" t="s">
        <v>143</v>
      </c>
      <c r="U19" s="11" t="s">
        <v>144</v>
      </c>
      <c r="V19" s="8" t="s">
        <v>56</v>
      </c>
      <c r="W19" s="8" t="s">
        <v>145</v>
      </c>
      <c r="X19" s="8" t="s">
        <v>58</v>
      </c>
      <c r="Y19" s="8" t="s">
        <v>58</v>
      </c>
      <c r="Z19" s="8" t="s">
        <v>31</v>
      </c>
      <c r="AA19" s="8" t="s">
        <v>146</v>
      </c>
    </row>
    <row r="20" spans="1:28">
      <c r="A20" s="8">
        <v>19</v>
      </c>
      <c r="B20" s="8" t="s">
        <v>147</v>
      </c>
      <c r="C20" s="8" t="s">
        <v>131</v>
      </c>
      <c r="D20" s="8" t="s">
        <v>132</v>
      </c>
      <c r="E20" s="8">
        <v>4</v>
      </c>
      <c r="F20" s="8" t="str">
        <f>IF(E20=0,"Overall",IF(E20=1,"Category",IF(E20=2,"Sub-category",IF(E20=3,"Indicator",IF(E20=4,"Sub-indicator", "Sub-sub-indicator")))))</f>
        <v>Sub-indicator</v>
      </c>
      <c r="G20" s="8">
        <v>1</v>
      </c>
      <c r="H20" s="8" t="s">
        <v>148</v>
      </c>
      <c r="I20" s="8" t="s">
        <v>149</v>
      </c>
      <c r="J20" s="8" t="s">
        <v>41</v>
      </c>
      <c r="K20" s="8" t="s">
        <v>37</v>
      </c>
      <c r="L20" s="8" t="s">
        <v>150</v>
      </c>
      <c r="M20" s="8" t="s">
        <v>151</v>
      </c>
      <c r="N20" s="8" t="s">
        <v>31</v>
      </c>
      <c r="O20" s="8" t="s">
        <v>31</v>
      </c>
      <c r="P20" s="8" t="s">
        <v>31</v>
      </c>
      <c r="Q20" s="9" t="s">
        <v>152</v>
      </c>
      <c r="R20" s="8" t="s">
        <v>53</v>
      </c>
      <c r="S20" s="10">
        <v>45432</v>
      </c>
      <c r="T20" s="8" t="s">
        <v>153</v>
      </c>
      <c r="U20" s="8" t="s">
        <v>154</v>
      </c>
      <c r="V20" s="8" t="s">
        <v>155</v>
      </c>
      <c r="W20" s="8" t="s">
        <v>156</v>
      </c>
      <c r="X20" s="8" t="s">
        <v>58</v>
      </c>
      <c r="Y20" s="8" t="s">
        <v>58</v>
      </c>
      <c r="Z20" s="8" t="s">
        <v>31</v>
      </c>
      <c r="AB20" s="8" t="s">
        <v>157</v>
      </c>
    </row>
    <row r="21" spans="1:28">
      <c r="A21" s="8">
        <v>20</v>
      </c>
      <c r="B21" s="8" t="s">
        <v>158</v>
      </c>
      <c r="C21" s="8" t="s">
        <v>40</v>
      </c>
      <c r="D21" s="8" t="s">
        <v>41</v>
      </c>
      <c r="E21" s="12">
        <v>3</v>
      </c>
      <c r="F21" s="12" t="str">
        <f>IF(E21=0,"Overall",IF(E21=1,"Category",IF(E21=2,"Sub-category",IF(E21=3,"Indicator",IF(E21=4,"Sub-indicator", "Sub-sub-indicator")))))</f>
        <v>Indicator</v>
      </c>
      <c r="G21" s="8">
        <v>0</v>
      </c>
      <c r="H21" s="12" t="s">
        <v>159</v>
      </c>
      <c r="I21" s="8" t="s">
        <v>160</v>
      </c>
      <c r="J21" s="8" t="s">
        <v>41</v>
      </c>
      <c r="K21" s="8" t="s">
        <v>37</v>
      </c>
      <c r="L21" s="8" t="s">
        <v>161</v>
      </c>
      <c r="M21" s="8" t="s">
        <v>31</v>
      </c>
      <c r="N21" s="8" t="s">
        <v>31</v>
      </c>
      <c r="O21" s="8" t="s">
        <v>31</v>
      </c>
      <c r="P21" s="8" t="s">
        <v>31</v>
      </c>
      <c r="Q21" s="9" t="s">
        <v>162</v>
      </c>
      <c r="R21" s="8" t="s">
        <v>31</v>
      </c>
      <c r="S21" s="8" t="s">
        <v>31</v>
      </c>
      <c r="T21" s="8" t="s">
        <v>31</v>
      </c>
      <c r="U21" s="8" t="s">
        <v>31</v>
      </c>
      <c r="V21" s="8" t="s">
        <v>31</v>
      </c>
      <c r="W21" s="8" t="s">
        <v>31</v>
      </c>
      <c r="X21" s="8" t="s">
        <v>31</v>
      </c>
      <c r="Y21" s="8" t="s">
        <v>31</v>
      </c>
      <c r="Z21" s="8" t="s">
        <v>31</v>
      </c>
    </row>
    <row r="22" spans="1:28">
      <c r="A22" s="8">
        <v>21</v>
      </c>
      <c r="B22" s="8" t="s">
        <v>163</v>
      </c>
      <c r="C22" s="8" t="s">
        <v>158</v>
      </c>
      <c r="D22" s="8" t="s">
        <v>159</v>
      </c>
      <c r="E22" s="8">
        <v>4</v>
      </c>
      <c r="F22" s="8" t="str">
        <f>IF(E22=0,"Overall",IF(E22=1,"Category",IF(E22=2,"Sub-category",IF(E22=3,"Indicator",IF(E22=4,"Sub-indicator", "Sub-sub-indicator")))))</f>
        <v>Sub-indicator</v>
      </c>
      <c r="G22" s="8">
        <v>0</v>
      </c>
      <c r="H22" s="8" t="s">
        <v>164</v>
      </c>
      <c r="I22" s="8" t="s">
        <v>138</v>
      </c>
      <c r="J22" s="8" t="s">
        <v>41</v>
      </c>
      <c r="K22" s="8" t="s">
        <v>37</v>
      </c>
      <c r="L22" s="8" t="s">
        <v>33</v>
      </c>
      <c r="M22" s="8" t="s">
        <v>31</v>
      </c>
      <c r="N22" s="8" t="s">
        <v>31</v>
      </c>
      <c r="O22" s="8" t="s">
        <v>31</v>
      </c>
      <c r="P22" s="8" t="s">
        <v>31</v>
      </c>
      <c r="Q22" s="9" t="s">
        <v>165</v>
      </c>
      <c r="R22" s="8" t="s">
        <v>31</v>
      </c>
      <c r="S22" s="10" t="s">
        <v>31</v>
      </c>
      <c r="T22" s="8" t="s">
        <v>31</v>
      </c>
      <c r="U22" s="8" t="s">
        <v>31</v>
      </c>
      <c r="V22" s="8" t="s">
        <v>31</v>
      </c>
      <c r="W22" s="8" t="s">
        <v>31</v>
      </c>
      <c r="X22" s="8" t="s">
        <v>31</v>
      </c>
      <c r="Y22" s="8" t="s">
        <v>31</v>
      </c>
      <c r="Z22" s="8" t="s">
        <v>31</v>
      </c>
    </row>
    <row r="23" spans="1:28">
      <c r="A23" s="8">
        <v>22</v>
      </c>
      <c r="B23" s="8" t="s">
        <v>166</v>
      </c>
      <c r="C23" s="8" t="s">
        <v>163</v>
      </c>
      <c r="D23" s="8" t="s">
        <v>164</v>
      </c>
      <c r="E23" s="8">
        <v>5</v>
      </c>
      <c r="F23" s="8" t="s">
        <v>92</v>
      </c>
      <c r="G23" s="8">
        <v>1</v>
      </c>
      <c r="H23" s="8" t="s">
        <v>167</v>
      </c>
      <c r="I23" s="8" t="s">
        <v>138</v>
      </c>
      <c r="J23" s="8" t="s">
        <v>41</v>
      </c>
      <c r="K23" s="8" t="s">
        <v>37</v>
      </c>
      <c r="L23" s="8" t="s">
        <v>139</v>
      </c>
      <c r="M23" s="8" t="s">
        <v>140</v>
      </c>
      <c r="N23" s="8" t="s">
        <v>31</v>
      </c>
      <c r="O23" s="8" t="s">
        <v>31</v>
      </c>
      <c r="P23" s="8" t="s">
        <v>31</v>
      </c>
      <c r="Q23" s="9" t="s">
        <v>168</v>
      </c>
      <c r="R23" s="17" t="s">
        <v>142</v>
      </c>
      <c r="S23" s="10">
        <v>45447</v>
      </c>
      <c r="T23" s="8" t="s">
        <v>169</v>
      </c>
      <c r="U23" s="11" t="s">
        <v>144</v>
      </c>
      <c r="V23" s="8" t="s">
        <v>56</v>
      </c>
      <c r="W23" s="8" t="s">
        <v>145</v>
      </c>
      <c r="X23" s="8" t="s">
        <v>58</v>
      </c>
      <c r="Y23" s="8" t="s">
        <v>58</v>
      </c>
      <c r="Z23" s="8" t="s">
        <v>31</v>
      </c>
      <c r="AA23" s="8" t="s">
        <v>146</v>
      </c>
    </row>
    <row r="24" spans="1:28">
      <c r="A24" s="8">
        <v>23</v>
      </c>
      <c r="B24" s="8" t="s">
        <v>170</v>
      </c>
      <c r="C24" s="8" t="s">
        <v>163</v>
      </c>
      <c r="D24" s="8" t="s">
        <v>164</v>
      </c>
      <c r="E24" s="8">
        <v>5</v>
      </c>
      <c r="F24" s="8" t="s">
        <v>92</v>
      </c>
      <c r="G24" s="8">
        <v>1</v>
      </c>
      <c r="H24" s="8" t="s">
        <v>171</v>
      </c>
      <c r="I24" s="8" t="s">
        <v>138</v>
      </c>
      <c r="J24" s="8" t="s">
        <v>41</v>
      </c>
      <c r="K24" s="8" t="s">
        <v>37</v>
      </c>
      <c r="L24" s="8" t="s">
        <v>139</v>
      </c>
      <c r="M24" s="8" t="s">
        <v>140</v>
      </c>
      <c r="N24" s="8" t="s">
        <v>31</v>
      </c>
      <c r="O24" s="8" t="s">
        <v>31</v>
      </c>
      <c r="P24" s="8" t="s">
        <v>31</v>
      </c>
      <c r="Q24" s="9" t="s">
        <v>172</v>
      </c>
      <c r="R24" s="17" t="s">
        <v>142</v>
      </c>
      <c r="S24" s="10">
        <v>45447</v>
      </c>
      <c r="T24" s="8" t="s">
        <v>173</v>
      </c>
      <c r="U24" s="11" t="s">
        <v>144</v>
      </c>
      <c r="V24" s="8" t="s">
        <v>56</v>
      </c>
      <c r="W24" s="8" t="s">
        <v>145</v>
      </c>
      <c r="X24" s="8" t="s">
        <v>58</v>
      </c>
      <c r="Y24" s="8" t="s">
        <v>58</v>
      </c>
      <c r="Z24" s="8" t="s">
        <v>31</v>
      </c>
      <c r="AA24" s="8" t="s">
        <v>146</v>
      </c>
      <c r="AB24" s="8" t="s">
        <v>174</v>
      </c>
    </row>
    <row r="25" spans="1:28">
      <c r="A25" s="8">
        <v>24</v>
      </c>
      <c r="B25" s="8" t="s">
        <v>175</v>
      </c>
      <c r="C25" s="8" t="s">
        <v>158</v>
      </c>
      <c r="D25" s="8" t="s">
        <v>159</v>
      </c>
      <c r="E25" s="8">
        <v>4</v>
      </c>
      <c r="F25" s="8" t="s">
        <v>136</v>
      </c>
      <c r="G25" s="8">
        <v>1</v>
      </c>
      <c r="H25" s="8" t="s">
        <v>176</v>
      </c>
      <c r="I25" s="8" t="s">
        <v>177</v>
      </c>
      <c r="J25" s="8" t="s">
        <v>41</v>
      </c>
      <c r="K25" s="8" t="s">
        <v>37</v>
      </c>
      <c r="L25" s="8" t="s">
        <v>178</v>
      </c>
      <c r="M25" s="8" t="s">
        <v>179</v>
      </c>
      <c r="N25" s="8" t="s">
        <v>31</v>
      </c>
      <c r="O25" s="8" t="s">
        <v>31</v>
      </c>
      <c r="P25" s="8" t="s">
        <v>31</v>
      </c>
      <c r="Q25" s="9" t="s">
        <v>180</v>
      </c>
      <c r="R25" s="8" t="s">
        <v>181</v>
      </c>
      <c r="S25" s="10">
        <v>45456</v>
      </c>
      <c r="T25" s="8" t="s">
        <v>182</v>
      </c>
      <c r="U25" s="8" t="s">
        <v>183</v>
      </c>
      <c r="V25" s="8" t="s">
        <v>56</v>
      </c>
      <c r="W25" s="8" t="s">
        <v>184</v>
      </c>
      <c r="X25" s="8" t="s">
        <v>58</v>
      </c>
      <c r="Y25" s="8" t="s">
        <v>58</v>
      </c>
      <c r="Z25" s="8" t="s">
        <v>31</v>
      </c>
    </row>
    <row r="26" spans="1:28">
      <c r="A26" s="8">
        <v>25</v>
      </c>
      <c r="B26" s="8" t="s">
        <v>185</v>
      </c>
      <c r="C26" s="8" t="s">
        <v>40</v>
      </c>
      <c r="D26" s="8" t="s">
        <v>41</v>
      </c>
      <c r="E26" s="12">
        <v>3</v>
      </c>
      <c r="F26" s="12" t="s">
        <v>186</v>
      </c>
      <c r="G26" s="8">
        <v>0</v>
      </c>
      <c r="H26" s="12" t="s">
        <v>187</v>
      </c>
      <c r="I26" s="8" t="s">
        <v>188</v>
      </c>
      <c r="J26" s="8" t="s">
        <v>41</v>
      </c>
      <c r="K26" s="8" t="s">
        <v>37</v>
      </c>
      <c r="L26" s="8" t="s">
        <v>33</v>
      </c>
      <c r="M26" s="8" t="s">
        <v>31</v>
      </c>
      <c r="N26" s="8" t="s">
        <v>31</v>
      </c>
      <c r="O26" s="8" t="s">
        <v>31</v>
      </c>
      <c r="P26" s="8" t="s">
        <v>31</v>
      </c>
      <c r="Q26" s="9" t="s">
        <v>189</v>
      </c>
      <c r="R26" s="8" t="s">
        <v>31</v>
      </c>
      <c r="S26" s="10" t="s">
        <v>31</v>
      </c>
      <c r="T26" s="8" t="s">
        <v>31</v>
      </c>
      <c r="U26" s="8" t="s">
        <v>31</v>
      </c>
      <c r="V26" s="8" t="s">
        <v>31</v>
      </c>
      <c r="W26" s="8" t="s">
        <v>31</v>
      </c>
      <c r="X26" s="8" t="s">
        <v>31</v>
      </c>
      <c r="Y26" s="8" t="s">
        <v>31</v>
      </c>
      <c r="Z26" s="8" t="s">
        <v>31</v>
      </c>
    </row>
    <row r="27" spans="1:28">
      <c r="A27" s="8">
        <v>26</v>
      </c>
      <c r="B27" s="8" t="s">
        <v>190</v>
      </c>
      <c r="C27" s="8" t="s">
        <v>185</v>
      </c>
      <c r="D27" s="8" t="s">
        <v>187</v>
      </c>
      <c r="E27" s="8">
        <v>4</v>
      </c>
      <c r="F27" s="8" t="s">
        <v>136</v>
      </c>
      <c r="G27" s="8">
        <v>1</v>
      </c>
      <c r="H27" s="8" t="s">
        <v>191</v>
      </c>
      <c r="I27" s="8" t="s">
        <v>188</v>
      </c>
      <c r="J27" s="8" t="s">
        <v>41</v>
      </c>
      <c r="K27" s="8" t="s">
        <v>37</v>
      </c>
      <c r="L27" s="8" t="s">
        <v>192</v>
      </c>
      <c r="M27" s="8" t="s">
        <v>193</v>
      </c>
      <c r="N27" s="8" t="s">
        <v>31</v>
      </c>
      <c r="O27" s="8" t="s">
        <v>31</v>
      </c>
      <c r="P27" s="8" t="s">
        <v>31</v>
      </c>
      <c r="Q27" s="8" t="s">
        <v>194</v>
      </c>
      <c r="R27" s="8" t="s">
        <v>53</v>
      </c>
      <c r="S27" s="10">
        <v>45474</v>
      </c>
      <c r="T27" s="8" t="s">
        <v>195</v>
      </c>
      <c r="U27" s="8" t="s">
        <v>196</v>
      </c>
      <c r="V27" s="8" t="s">
        <v>197</v>
      </c>
      <c r="W27" s="8" t="s">
        <v>198</v>
      </c>
      <c r="X27" s="8" t="s">
        <v>199</v>
      </c>
      <c r="Y27" s="8" t="s">
        <v>200</v>
      </c>
      <c r="Z27" s="8" t="s">
        <v>31</v>
      </c>
      <c r="AA27" s="8" t="s">
        <v>201</v>
      </c>
      <c r="AB27" s="8" t="s">
        <v>202</v>
      </c>
    </row>
    <row r="28" spans="1:28">
      <c r="A28" s="8">
        <v>27</v>
      </c>
      <c r="B28" s="8" t="s">
        <v>203</v>
      </c>
      <c r="C28" s="8" t="s">
        <v>185</v>
      </c>
      <c r="D28" s="8" t="s">
        <v>187</v>
      </c>
      <c r="E28" s="8">
        <v>4</v>
      </c>
      <c r="F28" s="8" t="s">
        <v>136</v>
      </c>
      <c r="G28" s="8">
        <v>0</v>
      </c>
      <c r="H28" s="8" t="s">
        <v>204</v>
      </c>
      <c r="I28" s="8" t="s">
        <v>188</v>
      </c>
      <c r="J28" s="8" t="s">
        <v>41</v>
      </c>
      <c r="K28" s="8" t="s">
        <v>37</v>
      </c>
      <c r="L28" s="8" t="s">
        <v>33</v>
      </c>
      <c r="M28" s="8" t="s">
        <v>31</v>
      </c>
      <c r="N28" s="8" t="s">
        <v>31</v>
      </c>
      <c r="O28" s="8" t="s">
        <v>31</v>
      </c>
      <c r="P28" s="8" t="s">
        <v>31</v>
      </c>
      <c r="Q28" s="9" t="s">
        <v>205</v>
      </c>
      <c r="R28" s="8" t="s">
        <v>31</v>
      </c>
      <c r="S28" s="10" t="s">
        <v>31</v>
      </c>
      <c r="T28" s="8" t="s">
        <v>31</v>
      </c>
      <c r="U28" s="8" t="s">
        <v>31</v>
      </c>
      <c r="V28" s="8" t="s">
        <v>31</v>
      </c>
      <c r="W28" s="8" t="s">
        <v>31</v>
      </c>
      <c r="X28" s="8" t="s">
        <v>31</v>
      </c>
      <c r="Y28" s="8" t="s">
        <v>31</v>
      </c>
      <c r="Z28" s="8" t="s">
        <v>31</v>
      </c>
    </row>
    <row r="29" spans="1:28">
      <c r="A29" s="8">
        <v>28</v>
      </c>
      <c r="B29" s="8" t="s">
        <v>206</v>
      </c>
      <c r="C29" s="8" t="s">
        <v>203</v>
      </c>
      <c r="D29" s="8" t="s">
        <v>204</v>
      </c>
      <c r="E29" s="8">
        <v>5</v>
      </c>
      <c r="F29" s="8" t="s">
        <v>92</v>
      </c>
      <c r="G29" s="8">
        <v>1</v>
      </c>
      <c r="H29" s="8" t="s">
        <v>207</v>
      </c>
      <c r="I29" s="8" t="s">
        <v>188</v>
      </c>
      <c r="J29" s="8" t="s">
        <v>41</v>
      </c>
      <c r="K29" s="8" t="s">
        <v>37</v>
      </c>
      <c r="L29" s="8" t="s">
        <v>192</v>
      </c>
      <c r="M29" s="8" t="s">
        <v>193</v>
      </c>
      <c r="N29" s="8" t="s">
        <v>31</v>
      </c>
      <c r="O29" s="8" t="s">
        <v>31</v>
      </c>
      <c r="P29" s="8" t="s">
        <v>31</v>
      </c>
      <c r="Q29" s="8" t="s">
        <v>208</v>
      </c>
      <c r="R29" s="8" t="s">
        <v>53</v>
      </c>
      <c r="S29" s="10">
        <v>45474</v>
      </c>
      <c r="T29" s="8" t="s">
        <v>209</v>
      </c>
      <c r="U29" s="8" t="s">
        <v>196</v>
      </c>
      <c r="V29" s="8" t="s">
        <v>197</v>
      </c>
      <c r="W29" s="8" t="s">
        <v>198</v>
      </c>
      <c r="X29" s="8" t="s">
        <v>199</v>
      </c>
      <c r="Y29" s="8" t="s">
        <v>200</v>
      </c>
      <c r="Z29" s="8" t="s">
        <v>31</v>
      </c>
      <c r="AA29" s="8" t="s">
        <v>201</v>
      </c>
      <c r="AB29" s="8" t="s">
        <v>202</v>
      </c>
    </row>
    <row r="30" spans="1:28">
      <c r="A30" s="8">
        <v>29</v>
      </c>
      <c r="B30" s="8" t="s">
        <v>210</v>
      </c>
      <c r="C30" s="8" t="s">
        <v>203</v>
      </c>
      <c r="D30" s="8" t="s">
        <v>204</v>
      </c>
      <c r="E30" s="8">
        <v>5</v>
      </c>
      <c r="F30" s="8" t="s">
        <v>92</v>
      </c>
      <c r="G30" s="8">
        <v>1</v>
      </c>
      <c r="H30" s="8" t="s">
        <v>211</v>
      </c>
      <c r="I30" s="8" t="s">
        <v>188</v>
      </c>
      <c r="J30" s="8" t="s">
        <v>41</v>
      </c>
      <c r="K30" s="8" t="s">
        <v>37</v>
      </c>
      <c r="L30" s="8" t="s">
        <v>192</v>
      </c>
      <c r="M30" s="8" t="s">
        <v>193</v>
      </c>
      <c r="N30" s="8" t="s">
        <v>31</v>
      </c>
      <c r="O30" s="8" t="s">
        <v>31</v>
      </c>
      <c r="P30" s="8" t="s">
        <v>31</v>
      </c>
      <c r="Q30" s="8" t="s">
        <v>212</v>
      </c>
      <c r="R30" s="8" t="s">
        <v>53</v>
      </c>
      <c r="S30" s="10">
        <v>45474</v>
      </c>
      <c r="T30" s="8" t="s">
        <v>213</v>
      </c>
      <c r="U30" s="8" t="s">
        <v>196</v>
      </c>
      <c r="V30" s="8" t="s">
        <v>197</v>
      </c>
      <c r="W30" s="8" t="s">
        <v>198</v>
      </c>
      <c r="X30" s="8" t="s">
        <v>199</v>
      </c>
      <c r="Y30" s="8" t="s">
        <v>200</v>
      </c>
      <c r="Z30" s="8" t="s">
        <v>31</v>
      </c>
      <c r="AA30" s="8" t="s">
        <v>201</v>
      </c>
      <c r="AB30" s="8" t="s">
        <v>202</v>
      </c>
    </row>
    <row r="31" spans="1:28">
      <c r="A31" s="8">
        <v>30</v>
      </c>
      <c r="B31" s="8" t="s">
        <v>214</v>
      </c>
      <c r="C31" s="8" t="s">
        <v>185</v>
      </c>
      <c r="D31" s="8" t="s">
        <v>187</v>
      </c>
      <c r="E31" s="8">
        <v>4</v>
      </c>
      <c r="F31" s="8" t="s">
        <v>136</v>
      </c>
      <c r="G31" s="8">
        <v>1</v>
      </c>
      <c r="H31" s="8" t="s">
        <v>215</v>
      </c>
      <c r="I31" s="8" t="s">
        <v>188</v>
      </c>
      <c r="J31" s="8" t="s">
        <v>41</v>
      </c>
      <c r="K31" s="8" t="s">
        <v>37</v>
      </c>
      <c r="L31" s="8" t="s">
        <v>192</v>
      </c>
      <c r="M31" s="8" t="s">
        <v>193</v>
      </c>
      <c r="N31" s="8" t="s">
        <v>31</v>
      </c>
      <c r="O31" s="8" t="s">
        <v>31</v>
      </c>
      <c r="P31" s="8" t="s">
        <v>31</v>
      </c>
      <c r="Q31" s="8" t="s">
        <v>216</v>
      </c>
      <c r="R31" s="8" t="s">
        <v>53</v>
      </c>
      <c r="S31" s="10">
        <v>45474</v>
      </c>
      <c r="T31" s="8" t="s">
        <v>217</v>
      </c>
      <c r="U31" s="8" t="s">
        <v>196</v>
      </c>
      <c r="V31" s="8" t="s">
        <v>197</v>
      </c>
      <c r="W31" s="8" t="s">
        <v>198</v>
      </c>
      <c r="X31" s="8" t="s">
        <v>199</v>
      </c>
      <c r="Y31" s="8" t="s">
        <v>200</v>
      </c>
      <c r="Z31" s="8" t="s">
        <v>31</v>
      </c>
      <c r="AA31" s="8" t="s">
        <v>201</v>
      </c>
      <c r="AB31" s="8" t="s">
        <v>202</v>
      </c>
    </row>
    <row r="32" spans="1:28" s="6" customFormat="1">
      <c r="A32" s="6">
        <v>31</v>
      </c>
      <c r="B32" s="6" t="s">
        <v>218</v>
      </c>
      <c r="C32" s="6" t="s">
        <v>36</v>
      </c>
      <c r="D32" s="6" t="s">
        <v>37</v>
      </c>
      <c r="E32" s="6">
        <v>2</v>
      </c>
      <c r="F32" s="6" t="str">
        <f>IF(E32=0,"Overall",IF(E32=1,"Category",IF(E32=2,"Sub-category",IF(E32=3,"Indicator",IF(E32=4,"Sub-indicator", "Sub-sub-indicator")))))</f>
        <v>Sub-category</v>
      </c>
      <c r="G32" s="6">
        <v>0</v>
      </c>
      <c r="H32" s="6" t="s">
        <v>219</v>
      </c>
      <c r="I32" s="7" t="s">
        <v>31</v>
      </c>
      <c r="J32" s="6" t="s">
        <v>31</v>
      </c>
      <c r="K32" s="6" t="str">
        <f>H3</f>
        <v>SECURITY &amp; RULE OF LAW</v>
      </c>
      <c r="L32" s="6" t="s">
        <v>33</v>
      </c>
      <c r="M32" s="6" t="s">
        <v>31</v>
      </c>
      <c r="N32" s="6" t="s">
        <v>31</v>
      </c>
      <c r="O32" s="6" t="s">
        <v>31</v>
      </c>
      <c r="P32" s="6" t="s">
        <v>31</v>
      </c>
      <c r="Q32" s="6" t="s">
        <v>220</v>
      </c>
      <c r="R32" s="6" t="s">
        <v>31</v>
      </c>
      <c r="S32" s="6" t="s">
        <v>31</v>
      </c>
      <c r="T32" s="6" t="s">
        <v>31</v>
      </c>
      <c r="U32" s="6" t="s">
        <v>31</v>
      </c>
      <c r="V32" s="6" t="s">
        <v>31</v>
      </c>
      <c r="W32" s="6" t="s">
        <v>31</v>
      </c>
      <c r="X32" s="6" t="s">
        <v>31</v>
      </c>
      <c r="Y32" s="6" t="s">
        <v>31</v>
      </c>
      <c r="Z32" s="6" t="s">
        <v>31</v>
      </c>
    </row>
    <row r="33" spans="1:28">
      <c r="A33" s="8">
        <v>32</v>
      </c>
      <c r="B33" s="8" t="s">
        <v>221</v>
      </c>
      <c r="C33" s="8" t="s">
        <v>218</v>
      </c>
      <c r="D33" s="8" t="s">
        <v>219</v>
      </c>
      <c r="E33" s="12">
        <v>3</v>
      </c>
      <c r="F33" s="12" t="str">
        <f>IF(E33=0,"Overall",IF(E33=1,"Category",IF(E33=2,"Sub-category",IF(E33=3,"Indicator",IF(E33=4,"Sub-indicator", "Sub-sub-indicator")))))</f>
        <v>Indicator</v>
      </c>
      <c r="G33" s="8">
        <v>0</v>
      </c>
      <c r="H33" s="12" t="s">
        <v>222</v>
      </c>
      <c r="I33" s="8" t="s">
        <v>223</v>
      </c>
      <c r="J33" s="8" t="str">
        <f>H32</f>
        <v>RULE OF LAW &amp; JUSTICE</v>
      </c>
      <c r="K33" s="8" t="str">
        <f>H3</f>
        <v>SECURITY &amp; RULE OF LAW</v>
      </c>
      <c r="L33" s="8" t="s">
        <v>33</v>
      </c>
      <c r="M33" s="8" t="s">
        <v>31</v>
      </c>
      <c r="N33" s="8" t="s">
        <v>31</v>
      </c>
      <c r="O33" s="8" t="s">
        <v>31</v>
      </c>
      <c r="P33" s="8" t="s">
        <v>31</v>
      </c>
      <c r="Q33" s="9" t="s">
        <v>224</v>
      </c>
      <c r="R33" s="8" t="s">
        <v>31</v>
      </c>
      <c r="S33" s="13" t="s">
        <v>31</v>
      </c>
      <c r="T33" s="8" t="s">
        <v>31</v>
      </c>
      <c r="U33" s="8" t="s">
        <v>31</v>
      </c>
      <c r="V33" s="8" t="s">
        <v>31</v>
      </c>
      <c r="W33" s="8" t="s">
        <v>31</v>
      </c>
      <c r="X33" s="8" t="s">
        <v>31</v>
      </c>
      <c r="Y33" s="8" t="s">
        <v>31</v>
      </c>
      <c r="Z33" s="8" t="s">
        <v>31</v>
      </c>
    </row>
    <row r="34" spans="1:28">
      <c r="A34" s="8">
        <v>33</v>
      </c>
      <c r="B34" s="8" t="s">
        <v>225</v>
      </c>
      <c r="C34" s="8" t="s">
        <v>221</v>
      </c>
      <c r="D34" s="8" t="s">
        <v>222</v>
      </c>
      <c r="E34" s="8">
        <v>4</v>
      </c>
      <c r="F34" s="8" t="str">
        <f>IF(E34=0,"Overall",IF(E34=1,"Category",IF(E34=2,"Sub-category",IF(E34=3,"Indicator",IF(E34=4,"Sub-indicator", "Sub-sub-indicator")))))</f>
        <v>Sub-indicator</v>
      </c>
      <c r="G34" s="8">
        <v>1</v>
      </c>
      <c r="H34" s="8" t="s">
        <v>226</v>
      </c>
      <c r="I34" s="8" t="s">
        <v>149</v>
      </c>
      <c r="J34" s="8" t="str">
        <f>H32</f>
        <v>RULE OF LAW &amp; JUSTICE</v>
      </c>
      <c r="K34" s="8" t="str">
        <f>H3</f>
        <v>SECURITY &amp; RULE OF LAW</v>
      </c>
      <c r="L34" s="8" t="s">
        <v>150</v>
      </c>
      <c r="M34" s="8" t="s">
        <v>151</v>
      </c>
      <c r="N34" s="8" t="s">
        <v>31</v>
      </c>
      <c r="O34" s="8" t="s">
        <v>31</v>
      </c>
      <c r="P34" s="8" t="s">
        <v>31</v>
      </c>
      <c r="Q34" s="9" t="s">
        <v>227</v>
      </c>
      <c r="R34" s="8" t="s">
        <v>53</v>
      </c>
      <c r="S34" s="10">
        <v>45432</v>
      </c>
      <c r="T34" s="8" t="s">
        <v>228</v>
      </c>
      <c r="U34" s="14" t="s">
        <v>229</v>
      </c>
      <c r="V34" s="8" t="s">
        <v>155</v>
      </c>
      <c r="W34" s="8" t="s">
        <v>156</v>
      </c>
      <c r="X34" s="8" t="s">
        <v>58</v>
      </c>
      <c r="Y34" s="8" t="s">
        <v>58</v>
      </c>
      <c r="Z34" s="8" t="s">
        <v>31</v>
      </c>
      <c r="AB34" s="8" t="s">
        <v>157</v>
      </c>
    </row>
    <row r="35" spans="1:28">
      <c r="A35" s="8">
        <v>34</v>
      </c>
      <c r="B35" s="8" t="s">
        <v>230</v>
      </c>
      <c r="C35" s="8" t="s">
        <v>221</v>
      </c>
      <c r="D35" s="8" t="s">
        <v>222</v>
      </c>
      <c r="E35" s="8">
        <v>4</v>
      </c>
      <c r="F35" s="8" t="s">
        <v>136</v>
      </c>
      <c r="G35" s="8">
        <v>0</v>
      </c>
      <c r="H35" s="8" t="s">
        <v>231</v>
      </c>
      <c r="I35" s="8" t="s">
        <v>223</v>
      </c>
      <c r="J35" s="8" t="str">
        <f>$H$32</f>
        <v>RULE OF LAW &amp; JUSTICE</v>
      </c>
      <c r="K35" s="8" t="str">
        <f>$H$3</f>
        <v>SECURITY &amp; RULE OF LAW</v>
      </c>
      <c r="L35" s="8" t="s">
        <v>33</v>
      </c>
      <c r="M35" s="8" t="s">
        <v>31</v>
      </c>
      <c r="N35" s="8" t="s">
        <v>31</v>
      </c>
      <c r="O35" s="8" t="s">
        <v>31</v>
      </c>
      <c r="P35" s="8" t="s">
        <v>31</v>
      </c>
      <c r="Q35" s="9" t="s">
        <v>232</v>
      </c>
      <c r="R35" s="8" t="s">
        <v>31</v>
      </c>
      <c r="S35" s="10" t="s">
        <v>31</v>
      </c>
      <c r="T35" s="8" t="s">
        <v>31</v>
      </c>
      <c r="U35" s="8" t="s">
        <v>31</v>
      </c>
      <c r="V35" s="8" t="s">
        <v>31</v>
      </c>
      <c r="W35" s="8" t="s">
        <v>31</v>
      </c>
      <c r="X35" s="8" t="s">
        <v>31</v>
      </c>
      <c r="Y35" s="8" t="s">
        <v>31</v>
      </c>
      <c r="Z35" s="8" t="s">
        <v>31</v>
      </c>
    </row>
    <row r="36" spans="1:28">
      <c r="A36" s="8">
        <v>35</v>
      </c>
      <c r="B36" s="8" t="s">
        <v>233</v>
      </c>
      <c r="C36" s="8" t="s">
        <v>230</v>
      </c>
      <c r="D36" s="18" t="s">
        <v>231</v>
      </c>
      <c r="E36" s="18">
        <v>5</v>
      </c>
      <c r="F36" s="8" t="s">
        <v>92</v>
      </c>
      <c r="G36" s="8">
        <v>1</v>
      </c>
      <c r="H36" s="8" t="s">
        <v>234</v>
      </c>
      <c r="I36" s="8" t="s">
        <v>235</v>
      </c>
      <c r="J36" s="8" t="str">
        <f>$H$32</f>
        <v>RULE OF LAW &amp; JUSTICE</v>
      </c>
      <c r="K36" s="8" t="str">
        <f>$H$3</f>
        <v>SECURITY &amp; RULE OF LAW</v>
      </c>
      <c r="L36" s="8" t="s">
        <v>236</v>
      </c>
      <c r="M36" s="8" t="s">
        <v>237</v>
      </c>
      <c r="N36" s="8" t="s">
        <v>31</v>
      </c>
      <c r="O36" s="8" t="s">
        <v>31</v>
      </c>
      <c r="P36" s="8" t="s">
        <v>31</v>
      </c>
      <c r="Q36" s="9" t="s">
        <v>238</v>
      </c>
      <c r="R36" s="8" t="s">
        <v>239</v>
      </c>
      <c r="S36" s="10">
        <v>45440</v>
      </c>
      <c r="T36" s="8" t="s">
        <v>240</v>
      </c>
      <c r="U36" s="14" t="s">
        <v>154</v>
      </c>
      <c r="V36" s="8" t="s">
        <v>155</v>
      </c>
      <c r="W36" s="8" t="s">
        <v>241</v>
      </c>
      <c r="X36" s="8" t="s">
        <v>242</v>
      </c>
      <c r="Y36" s="8" t="s">
        <v>58</v>
      </c>
      <c r="Z36" s="8" t="s">
        <v>31</v>
      </c>
      <c r="AA36" s="8" t="s">
        <v>243</v>
      </c>
      <c r="AB36" s="8" t="s">
        <v>244</v>
      </c>
    </row>
    <row r="37" spans="1:28">
      <c r="A37" s="8">
        <v>36</v>
      </c>
      <c r="B37" s="8" t="s">
        <v>245</v>
      </c>
      <c r="C37" s="8" t="s">
        <v>230</v>
      </c>
      <c r="D37" s="8" t="s">
        <v>231</v>
      </c>
      <c r="E37" s="8">
        <v>5</v>
      </c>
      <c r="F37" s="8" t="s">
        <v>92</v>
      </c>
      <c r="G37" s="8">
        <v>1</v>
      </c>
      <c r="H37" s="8" t="s">
        <v>246</v>
      </c>
      <c r="I37" s="8" t="s">
        <v>149</v>
      </c>
      <c r="J37" s="8" t="str">
        <f>$H$32</f>
        <v>RULE OF LAW &amp; JUSTICE</v>
      </c>
      <c r="K37" s="8" t="str">
        <f>$H$3</f>
        <v>SECURITY &amp; RULE OF LAW</v>
      </c>
      <c r="L37" s="8" t="s">
        <v>150</v>
      </c>
      <c r="M37" s="8" t="s">
        <v>151</v>
      </c>
      <c r="N37" s="8" t="s">
        <v>31</v>
      </c>
      <c r="O37" s="8" t="s">
        <v>31</v>
      </c>
      <c r="P37" s="8" t="s">
        <v>31</v>
      </c>
      <c r="Q37" s="9" t="s">
        <v>247</v>
      </c>
      <c r="R37" s="8" t="s">
        <v>53</v>
      </c>
      <c r="S37" s="10">
        <v>45432</v>
      </c>
      <c r="T37" s="8" t="s">
        <v>248</v>
      </c>
      <c r="U37" s="14" t="s">
        <v>154</v>
      </c>
      <c r="V37" s="9" t="s">
        <v>56</v>
      </c>
      <c r="W37" s="8" t="s">
        <v>156</v>
      </c>
      <c r="X37" s="8" t="s">
        <v>58</v>
      </c>
      <c r="Y37" s="8" t="s">
        <v>58</v>
      </c>
      <c r="Z37" s="8" t="s">
        <v>31</v>
      </c>
      <c r="AB37" s="8" t="s">
        <v>157</v>
      </c>
    </row>
    <row r="38" spans="1:28">
      <c r="A38" s="8">
        <v>37</v>
      </c>
      <c r="B38" s="8" t="s">
        <v>249</v>
      </c>
      <c r="C38" s="8" t="s">
        <v>221</v>
      </c>
      <c r="D38" s="8" t="s">
        <v>222</v>
      </c>
      <c r="E38" s="8">
        <v>4</v>
      </c>
      <c r="F38" s="8" t="str">
        <f t="shared" ref="F38:F43" si="1">IF(E38=0,"Overall",IF(E38=1,"Category",IF(E38=2,"Sub-category",IF(E38=3,"Indicator",IF(E38=4,"Sub-indicator", "Sub-sub-indicator")))))</f>
        <v>Sub-indicator</v>
      </c>
      <c r="G38" s="8">
        <v>1</v>
      </c>
      <c r="H38" s="8" t="s">
        <v>250</v>
      </c>
      <c r="I38" s="8" t="s">
        <v>149</v>
      </c>
      <c r="J38" s="8" t="str">
        <f>$H$32</f>
        <v>RULE OF LAW &amp; JUSTICE</v>
      </c>
      <c r="K38" s="8" t="str">
        <f>$H$3</f>
        <v>SECURITY &amp; RULE OF LAW</v>
      </c>
      <c r="L38" s="8" t="s">
        <v>150</v>
      </c>
      <c r="M38" s="8" t="s">
        <v>151</v>
      </c>
      <c r="N38" s="8" t="s">
        <v>31</v>
      </c>
      <c r="O38" s="8" t="s">
        <v>31</v>
      </c>
      <c r="P38" s="8" t="s">
        <v>31</v>
      </c>
      <c r="Q38" s="9" t="s">
        <v>251</v>
      </c>
      <c r="R38" s="8" t="s">
        <v>53</v>
      </c>
      <c r="S38" s="10">
        <v>45432</v>
      </c>
      <c r="T38" s="8" t="s">
        <v>252</v>
      </c>
      <c r="U38" s="14" t="s">
        <v>229</v>
      </c>
      <c r="V38" s="8" t="s">
        <v>155</v>
      </c>
      <c r="W38" s="8" t="s">
        <v>156</v>
      </c>
      <c r="X38" s="8" t="s">
        <v>58</v>
      </c>
      <c r="Y38" s="8" t="s">
        <v>58</v>
      </c>
      <c r="Z38" s="8" t="s">
        <v>31</v>
      </c>
      <c r="AB38" s="8" t="s">
        <v>157</v>
      </c>
    </row>
    <row r="39" spans="1:28">
      <c r="A39" s="8">
        <v>38</v>
      </c>
      <c r="B39" s="8" t="s">
        <v>253</v>
      </c>
      <c r="C39" s="8" t="s">
        <v>218</v>
      </c>
      <c r="D39" s="8" t="s">
        <v>219</v>
      </c>
      <c r="E39" s="12">
        <v>3</v>
      </c>
      <c r="F39" s="12" t="str">
        <f t="shared" si="1"/>
        <v>Indicator</v>
      </c>
      <c r="G39" s="8">
        <v>0</v>
      </c>
      <c r="H39" s="12" t="s">
        <v>254</v>
      </c>
      <c r="I39" s="8" t="s">
        <v>255</v>
      </c>
      <c r="J39" s="8" t="str">
        <f>H32</f>
        <v>RULE OF LAW &amp; JUSTICE</v>
      </c>
      <c r="K39" s="8" t="str">
        <f>H3</f>
        <v>SECURITY &amp; RULE OF LAW</v>
      </c>
      <c r="L39" s="8" t="s">
        <v>33</v>
      </c>
      <c r="M39" s="8" t="s">
        <v>31</v>
      </c>
      <c r="N39" s="8" t="s">
        <v>31</v>
      </c>
      <c r="O39" s="8" t="s">
        <v>31</v>
      </c>
      <c r="P39" s="8" t="s">
        <v>31</v>
      </c>
      <c r="Q39" s="9" t="s">
        <v>256</v>
      </c>
      <c r="R39" s="8" t="s">
        <v>31</v>
      </c>
      <c r="S39" s="10" t="s">
        <v>31</v>
      </c>
      <c r="T39" s="8" t="s">
        <v>31</v>
      </c>
      <c r="U39" s="14" t="s">
        <v>31</v>
      </c>
      <c r="V39" s="8" t="s">
        <v>31</v>
      </c>
      <c r="W39" s="8" t="s">
        <v>31</v>
      </c>
      <c r="X39" s="8" t="s">
        <v>31</v>
      </c>
      <c r="Y39" s="8" t="s">
        <v>31</v>
      </c>
      <c r="Z39" s="8" t="s">
        <v>31</v>
      </c>
    </row>
    <row r="40" spans="1:28">
      <c r="A40" s="8">
        <v>39</v>
      </c>
      <c r="B40" s="8" t="s">
        <v>257</v>
      </c>
      <c r="C40" s="8" t="s">
        <v>253</v>
      </c>
      <c r="D40" s="8" t="s">
        <v>254</v>
      </c>
      <c r="E40" s="8">
        <v>4</v>
      </c>
      <c r="F40" s="8" t="str">
        <f t="shared" si="1"/>
        <v>Sub-indicator</v>
      </c>
      <c r="G40" s="8">
        <v>0</v>
      </c>
      <c r="H40" s="8" t="s">
        <v>258</v>
      </c>
      <c r="I40" s="8" t="s">
        <v>255</v>
      </c>
      <c r="J40" s="8" t="str">
        <f>H32</f>
        <v>RULE OF LAW &amp; JUSTICE</v>
      </c>
      <c r="K40" s="8" t="str">
        <f>H3</f>
        <v>SECURITY &amp; RULE OF LAW</v>
      </c>
      <c r="L40" s="8" t="s">
        <v>33</v>
      </c>
      <c r="M40" s="8" t="s">
        <v>31</v>
      </c>
      <c r="N40" s="8" t="s">
        <v>31</v>
      </c>
      <c r="O40" s="8" t="s">
        <v>31</v>
      </c>
      <c r="P40" s="8" t="s">
        <v>31</v>
      </c>
      <c r="Q40" s="9" t="s">
        <v>259</v>
      </c>
      <c r="R40" s="8" t="s">
        <v>31</v>
      </c>
      <c r="S40" s="13" t="s">
        <v>31</v>
      </c>
      <c r="T40" s="8" t="s">
        <v>31</v>
      </c>
      <c r="U40" s="8" t="s">
        <v>31</v>
      </c>
      <c r="V40" s="8" t="s">
        <v>31</v>
      </c>
      <c r="W40" s="8" t="s">
        <v>31</v>
      </c>
      <c r="X40" s="8" t="s">
        <v>31</v>
      </c>
      <c r="Y40" s="8" t="s">
        <v>31</v>
      </c>
      <c r="Z40" s="8" t="s">
        <v>31</v>
      </c>
    </row>
    <row r="41" spans="1:28">
      <c r="A41" s="8">
        <v>40</v>
      </c>
      <c r="B41" s="8" t="s">
        <v>260</v>
      </c>
      <c r="C41" s="8" t="s">
        <v>257</v>
      </c>
      <c r="D41" s="8" t="s">
        <v>258</v>
      </c>
      <c r="E41" s="8">
        <v>5</v>
      </c>
      <c r="F41" s="8" t="str">
        <f t="shared" si="1"/>
        <v>Sub-sub-indicator</v>
      </c>
      <c r="G41" s="8">
        <v>1</v>
      </c>
      <c r="H41" s="8" t="s">
        <v>261</v>
      </c>
      <c r="I41" s="8" t="s">
        <v>149</v>
      </c>
      <c r="J41" s="8" t="str">
        <f t="shared" ref="J41:J56" si="2">$H$32</f>
        <v>RULE OF LAW &amp; JUSTICE</v>
      </c>
      <c r="K41" s="8" t="str">
        <f t="shared" ref="K41:K56" si="3">$H$3</f>
        <v>SECURITY &amp; RULE OF LAW</v>
      </c>
      <c r="L41" s="8" t="s">
        <v>150</v>
      </c>
      <c r="M41" s="8" t="s">
        <v>151</v>
      </c>
      <c r="N41" s="8" t="s">
        <v>31</v>
      </c>
      <c r="O41" s="8" t="s">
        <v>31</v>
      </c>
      <c r="P41" s="8" t="s">
        <v>31</v>
      </c>
      <c r="Q41" s="9" t="s">
        <v>262</v>
      </c>
      <c r="R41" s="8" t="s">
        <v>53</v>
      </c>
      <c r="S41" s="10">
        <v>45432</v>
      </c>
      <c r="T41" s="8" t="s">
        <v>263</v>
      </c>
      <c r="U41" s="14" t="s">
        <v>154</v>
      </c>
      <c r="V41" s="8" t="s">
        <v>155</v>
      </c>
      <c r="W41" s="8" t="s">
        <v>156</v>
      </c>
      <c r="X41" s="8" t="s">
        <v>58</v>
      </c>
      <c r="Y41" s="8" t="s">
        <v>58</v>
      </c>
      <c r="Z41" s="8" t="s">
        <v>31</v>
      </c>
      <c r="AA41" s="8" t="s">
        <v>264</v>
      </c>
    </row>
    <row r="42" spans="1:28">
      <c r="A42" s="8">
        <v>41</v>
      </c>
      <c r="B42" s="8" t="s">
        <v>265</v>
      </c>
      <c r="C42" s="8" t="s">
        <v>257</v>
      </c>
      <c r="D42" s="8" t="s">
        <v>258</v>
      </c>
      <c r="E42" s="8">
        <v>5</v>
      </c>
      <c r="F42" s="8" t="str">
        <f t="shared" si="1"/>
        <v>Sub-sub-indicator</v>
      </c>
      <c r="G42" s="8">
        <v>1</v>
      </c>
      <c r="H42" s="8" t="s">
        <v>266</v>
      </c>
      <c r="I42" s="8" t="s">
        <v>267</v>
      </c>
      <c r="J42" s="8" t="str">
        <f t="shared" si="2"/>
        <v>RULE OF LAW &amp; JUSTICE</v>
      </c>
      <c r="K42" s="8" t="str">
        <f t="shared" si="3"/>
        <v>SECURITY &amp; RULE OF LAW</v>
      </c>
      <c r="L42" s="8" t="s">
        <v>268</v>
      </c>
      <c r="M42" s="8" t="s">
        <v>269</v>
      </c>
      <c r="N42" s="8" t="s">
        <v>31</v>
      </c>
      <c r="O42" s="8" t="s">
        <v>31</v>
      </c>
      <c r="P42" s="8" t="s">
        <v>31</v>
      </c>
      <c r="Q42" s="9" t="s">
        <v>270</v>
      </c>
      <c r="R42" s="8" t="s">
        <v>53</v>
      </c>
      <c r="S42" s="10">
        <v>45481</v>
      </c>
      <c r="T42" s="8" t="s">
        <v>271</v>
      </c>
      <c r="U42" s="14" t="s">
        <v>196</v>
      </c>
      <c r="V42" s="8" t="s">
        <v>155</v>
      </c>
      <c r="W42" s="8" t="s">
        <v>272</v>
      </c>
      <c r="X42" s="8" t="s">
        <v>58</v>
      </c>
      <c r="Y42" s="8" t="s">
        <v>58</v>
      </c>
      <c r="Z42" s="8" t="s">
        <v>31</v>
      </c>
      <c r="AA42" s="8" t="s">
        <v>273</v>
      </c>
    </row>
    <row r="43" spans="1:28">
      <c r="A43" s="8">
        <v>42</v>
      </c>
      <c r="B43" s="8" t="s">
        <v>274</v>
      </c>
      <c r="C43" s="8" t="s">
        <v>253</v>
      </c>
      <c r="D43" s="8" t="s">
        <v>254</v>
      </c>
      <c r="E43" s="8">
        <v>4</v>
      </c>
      <c r="F43" s="8" t="str">
        <f t="shared" si="1"/>
        <v>Sub-indicator</v>
      </c>
      <c r="G43" s="8">
        <v>0</v>
      </c>
      <c r="H43" s="8" t="s">
        <v>275</v>
      </c>
      <c r="I43" s="8" t="s">
        <v>255</v>
      </c>
      <c r="J43" s="8" t="str">
        <f t="shared" si="2"/>
        <v>RULE OF LAW &amp; JUSTICE</v>
      </c>
      <c r="K43" s="8" t="str">
        <f t="shared" si="3"/>
        <v>SECURITY &amp; RULE OF LAW</v>
      </c>
      <c r="L43" s="8" t="s">
        <v>33</v>
      </c>
      <c r="M43" s="8" t="s">
        <v>31</v>
      </c>
      <c r="N43" s="8" t="s">
        <v>31</v>
      </c>
      <c r="O43" s="8" t="s">
        <v>31</v>
      </c>
      <c r="P43" s="8" t="s">
        <v>31</v>
      </c>
      <c r="Q43" s="9" t="s">
        <v>276</v>
      </c>
      <c r="R43" s="8" t="s">
        <v>31</v>
      </c>
      <c r="S43" s="10" t="s">
        <v>31</v>
      </c>
      <c r="T43" s="8" t="s">
        <v>31</v>
      </c>
      <c r="U43" s="14" t="s">
        <v>31</v>
      </c>
      <c r="V43" s="8" t="s">
        <v>31</v>
      </c>
      <c r="W43" s="8" t="s">
        <v>31</v>
      </c>
      <c r="X43" s="8" t="s">
        <v>31</v>
      </c>
      <c r="Y43" s="8" t="s">
        <v>31</v>
      </c>
      <c r="Z43" s="8" t="s">
        <v>31</v>
      </c>
    </row>
    <row r="44" spans="1:28">
      <c r="A44" s="8">
        <v>43</v>
      </c>
      <c r="B44" s="8" t="s">
        <v>277</v>
      </c>
      <c r="C44" s="8" t="s">
        <v>274</v>
      </c>
      <c r="D44" s="8" t="s">
        <v>275</v>
      </c>
      <c r="E44" s="8">
        <v>5</v>
      </c>
      <c r="F44" s="8" t="s">
        <v>92</v>
      </c>
      <c r="G44" s="8">
        <v>1</v>
      </c>
      <c r="H44" s="8" t="s">
        <v>278</v>
      </c>
      <c r="I44" s="8" t="s">
        <v>267</v>
      </c>
      <c r="J44" s="8" t="str">
        <f t="shared" si="2"/>
        <v>RULE OF LAW &amp; JUSTICE</v>
      </c>
      <c r="K44" s="8" t="str">
        <f t="shared" si="3"/>
        <v>SECURITY &amp; RULE OF LAW</v>
      </c>
      <c r="L44" s="8" t="s">
        <v>268</v>
      </c>
      <c r="M44" s="8" t="s">
        <v>269</v>
      </c>
      <c r="N44" s="8" t="s">
        <v>31</v>
      </c>
      <c r="O44" s="8" t="s">
        <v>31</v>
      </c>
      <c r="P44" s="8" t="s">
        <v>31</v>
      </c>
      <c r="Q44" s="9" t="s">
        <v>279</v>
      </c>
      <c r="R44" s="8" t="s">
        <v>53</v>
      </c>
      <c r="S44" s="10">
        <v>45481</v>
      </c>
      <c r="T44" s="8" t="s">
        <v>280</v>
      </c>
      <c r="U44" s="14" t="s">
        <v>196</v>
      </c>
      <c r="V44" s="8" t="s">
        <v>155</v>
      </c>
      <c r="W44" s="8" t="s">
        <v>272</v>
      </c>
      <c r="X44" s="8" t="s">
        <v>58</v>
      </c>
      <c r="Y44" s="8" t="s">
        <v>58</v>
      </c>
      <c r="Z44" s="8" t="s">
        <v>31</v>
      </c>
      <c r="AA44" s="8" t="s">
        <v>273</v>
      </c>
    </row>
    <row r="45" spans="1:28">
      <c r="A45" s="8">
        <v>44</v>
      </c>
      <c r="B45" s="8" t="s">
        <v>281</v>
      </c>
      <c r="C45" s="8" t="s">
        <v>274</v>
      </c>
      <c r="D45" s="8" t="s">
        <v>275</v>
      </c>
      <c r="E45" s="8">
        <v>5</v>
      </c>
      <c r="F45" s="8" t="s">
        <v>92</v>
      </c>
      <c r="G45" s="8">
        <v>1</v>
      </c>
      <c r="H45" s="8" t="s">
        <v>282</v>
      </c>
      <c r="I45" s="8" t="s">
        <v>149</v>
      </c>
      <c r="J45" s="8" t="str">
        <f t="shared" si="2"/>
        <v>RULE OF LAW &amp; JUSTICE</v>
      </c>
      <c r="K45" s="8" t="str">
        <f t="shared" si="3"/>
        <v>SECURITY &amp; RULE OF LAW</v>
      </c>
      <c r="L45" s="8" t="s">
        <v>150</v>
      </c>
      <c r="M45" s="8" t="s">
        <v>151</v>
      </c>
      <c r="N45" s="8" t="s">
        <v>31</v>
      </c>
      <c r="O45" s="8" t="s">
        <v>31</v>
      </c>
      <c r="P45" s="8" t="s">
        <v>31</v>
      </c>
      <c r="Q45" s="9" t="s">
        <v>283</v>
      </c>
      <c r="R45" s="8" t="s">
        <v>53</v>
      </c>
      <c r="S45" s="10">
        <v>45432</v>
      </c>
      <c r="T45" s="8" t="s">
        <v>284</v>
      </c>
      <c r="U45" s="14" t="s">
        <v>229</v>
      </c>
      <c r="V45" s="8" t="s">
        <v>155</v>
      </c>
      <c r="W45" s="8" t="s">
        <v>156</v>
      </c>
      <c r="X45" s="8" t="s">
        <v>58</v>
      </c>
      <c r="Y45" s="8" t="s">
        <v>58</v>
      </c>
      <c r="Z45" s="8" t="s">
        <v>31</v>
      </c>
      <c r="AB45" s="8" t="s">
        <v>157</v>
      </c>
    </row>
    <row r="46" spans="1:28">
      <c r="A46" s="8">
        <v>45</v>
      </c>
      <c r="B46" s="8" t="s">
        <v>285</v>
      </c>
      <c r="C46" s="8" t="s">
        <v>218</v>
      </c>
      <c r="D46" s="8" t="s">
        <v>219</v>
      </c>
      <c r="E46" s="12">
        <v>3</v>
      </c>
      <c r="F46" s="12" t="str">
        <f t="shared" ref="F46:F65" si="4">IF(E46=0,"Overall",IF(E46=1,"Category",IF(E46=2,"Sub-category",IF(E46=3,"Indicator",IF(E46=4,"Sub-indicator", "Sub-sub-indicator")))))</f>
        <v>Indicator</v>
      </c>
      <c r="G46" s="8">
        <v>0</v>
      </c>
      <c r="H46" s="12" t="s">
        <v>286</v>
      </c>
      <c r="I46" s="8" t="s">
        <v>223</v>
      </c>
      <c r="J46" s="8" t="str">
        <f t="shared" si="2"/>
        <v>RULE OF LAW &amp; JUSTICE</v>
      </c>
      <c r="K46" s="8" t="str">
        <f t="shared" si="3"/>
        <v>SECURITY &amp; RULE OF LAW</v>
      </c>
      <c r="L46" s="8" t="s">
        <v>33</v>
      </c>
      <c r="M46" s="8" t="s">
        <v>31</v>
      </c>
      <c r="N46" s="8" t="s">
        <v>31</v>
      </c>
      <c r="O46" s="8" t="s">
        <v>31</v>
      </c>
      <c r="P46" s="8" t="s">
        <v>31</v>
      </c>
      <c r="Q46" s="9" t="s">
        <v>287</v>
      </c>
      <c r="R46" s="8" t="s">
        <v>31</v>
      </c>
      <c r="S46" s="10" t="s">
        <v>31</v>
      </c>
      <c r="T46" s="8" t="s">
        <v>31</v>
      </c>
      <c r="U46" s="14" t="s">
        <v>31</v>
      </c>
      <c r="V46" s="8" t="s">
        <v>31</v>
      </c>
      <c r="W46" s="8" t="s">
        <v>31</v>
      </c>
      <c r="X46" s="8" t="s">
        <v>31</v>
      </c>
      <c r="Y46" s="8" t="s">
        <v>31</v>
      </c>
      <c r="Z46" s="8" t="s">
        <v>31</v>
      </c>
    </row>
    <row r="47" spans="1:28">
      <c r="A47" s="8">
        <v>46</v>
      </c>
      <c r="B47" s="8" t="s">
        <v>288</v>
      </c>
      <c r="C47" s="8" t="s">
        <v>285</v>
      </c>
      <c r="D47" s="8" t="s">
        <v>286</v>
      </c>
      <c r="E47" s="8">
        <v>4</v>
      </c>
      <c r="F47" s="8" t="str">
        <f t="shared" si="4"/>
        <v>Sub-indicator</v>
      </c>
      <c r="G47" s="8">
        <v>0</v>
      </c>
      <c r="H47" s="8" t="s">
        <v>289</v>
      </c>
      <c r="I47" s="8" t="s">
        <v>223</v>
      </c>
      <c r="J47" s="8" t="str">
        <f t="shared" si="2"/>
        <v>RULE OF LAW &amp; JUSTICE</v>
      </c>
      <c r="K47" s="8" t="str">
        <f t="shared" si="3"/>
        <v>SECURITY &amp; RULE OF LAW</v>
      </c>
      <c r="L47" s="8" t="s">
        <v>33</v>
      </c>
      <c r="M47" s="8" t="s">
        <v>31</v>
      </c>
      <c r="N47" s="8" t="s">
        <v>31</v>
      </c>
      <c r="O47" s="8" t="s">
        <v>31</v>
      </c>
      <c r="P47" s="8" t="s">
        <v>31</v>
      </c>
      <c r="Q47" s="9" t="s">
        <v>290</v>
      </c>
      <c r="R47" s="8" t="s">
        <v>31</v>
      </c>
      <c r="S47" s="10" t="s">
        <v>31</v>
      </c>
      <c r="T47" s="8" t="s">
        <v>31</v>
      </c>
      <c r="U47" s="14" t="s">
        <v>31</v>
      </c>
      <c r="V47" s="8" t="s">
        <v>31</v>
      </c>
      <c r="W47" s="8" t="s">
        <v>31</v>
      </c>
      <c r="X47" s="8" t="s">
        <v>31</v>
      </c>
      <c r="Y47" s="8" t="s">
        <v>31</v>
      </c>
      <c r="Z47" s="8" t="s">
        <v>31</v>
      </c>
    </row>
    <row r="48" spans="1:28">
      <c r="A48" s="8">
        <v>47</v>
      </c>
      <c r="B48" s="8" t="s">
        <v>291</v>
      </c>
      <c r="C48" s="8" t="s">
        <v>288</v>
      </c>
      <c r="D48" s="8" t="s">
        <v>289</v>
      </c>
      <c r="E48" s="8">
        <v>5</v>
      </c>
      <c r="F48" s="8" t="str">
        <f t="shared" si="4"/>
        <v>Sub-sub-indicator</v>
      </c>
      <c r="G48" s="8">
        <v>1</v>
      </c>
      <c r="H48" s="8" t="s">
        <v>292</v>
      </c>
      <c r="I48" s="8" t="s">
        <v>149</v>
      </c>
      <c r="J48" s="8" t="str">
        <f t="shared" si="2"/>
        <v>RULE OF LAW &amp; JUSTICE</v>
      </c>
      <c r="K48" s="8" t="str">
        <f t="shared" si="3"/>
        <v>SECURITY &amp; RULE OF LAW</v>
      </c>
      <c r="L48" s="8" t="s">
        <v>150</v>
      </c>
      <c r="M48" s="8" t="s">
        <v>151</v>
      </c>
      <c r="N48" s="8" t="s">
        <v>31</v>
      </c>
      <c r="O48" s="8" t="s">
        <v>31</v>
      </c>
      <c r="P48" s="8" t="s">
        <v>31</v>
      </c>
      <c r="Q48" s="9" t="s">
        <v>293</v>
      </c>
      <c r="R48" s="8" t="s">
        <v>53</v>
      </c>
      <c r="S48" s="10">
        <v>45432</v>
      </c>
      <c r="T48" s="8" t="s">
        <v>294</v>
      </c>
      <c r="U48" s="8" t="s">
        <v>154</v>
      </c>
      <c r="V48" s="19" t="s">
        <v>155</v>
      </c>
      <c r="W48" s="8" t="s">
        <v>156</v>
      </c>
      <c r="X48" s="8" t="s">
        <v>58</v>
      </c>
      <c r="Y48" s="8" t="s">
        <v>58</v>
      </c>
      <c r="Z48" s="8" t="s">
        <v>31</v>
      </c>
      <c r="AB48" s="8" t="s">
        <v>157</v>
      </c>
    </row>
    <row r="49" spans="1:30">
      <c r="A49" s="8">
        <v>48</v>
      </c>
      <c r="B49" s="8" t="s">
        <v>295</v>
      </c>
      <c r="C49" s="8" t="s">
        <v>288</v>
      </c>
      <c r="D49" s="8" t="s">
        <v>289</v>
      </c>
      <c r="E49" s="8">
        <v>5</v>
      </c>
      <c r="F49" s="8" t="str">
        <f t="shared" si="4"/>
        <v>Sub-sub-indicator</v>
      </c>
      <c r="G49" s="8">
        <v>1</v>
      </c>
      <c r="H49" s="8" t="s">
        <v>296</v>
      </c>
      <c r="I49" s="8" t="s">
        <v>235</v>
      </c>
      <c r="J49" s="8" t="str">
        <f t="shared" si="2"/>
        <v>RULE OF LAW &amp; JUSTICE</v>
      </c>
      <c r="K49" s="8" t="str">
        <f t="shared" si="3"/>
        <v>SECURITY &amp; RULE OF LAW</v>
      </c>
      <c r="L49" s="8" t="s">
        <v>236</v>
      </c>
      <c r="M49" s="8" t="s">
        <v>237</v>
      </c>
      <c r="N49" s="8" t="s">
        <v>31</v>
      </c>
      <c r="O49" s="8" t="s">
        <v>31</v>
      </c>
      <c r="P49" s="8" t="s">
        <v>31</v>
      </c>
      <c r="Q49" s="9" t="s">
        <v>297</v>
      </c>
      <c r="R49" s="8" t="s">
        <v>239</v>
      </c>
      <c r="S49" s="10">
        <v>45440</v>
      </c>
      <c r="T49" s="8" t="s">
        <v>298</v>
      </c>
      <c r="U49" s="8" t="s">
        <v>154</v>
      </c>
      <c r="V49" s="19" t="s">
        <v>155</v>
      </c>
      <c r="W49" s="8" t="s">
        <v>241</v>
      </c>
      <c r="X49" s="8" t="s">
        <v>242</v>
      </c>
      <c r="Y49" s="8" t="s">
        <v>58</v>
      </c>
      <c r="Z49" s="8" t="s">
        <v>31</v>
      </c>
      <c r="AA49" s="8" t="s">
        <v>299</v>
      </c>
      <c r="AB49" s="8" t="s">
        <v>244</v>
      </c>
    </row>
    <row r="50" spans="1:30">
      <c r="A50" s="8">
        <v>49</v>
      </c>
      <c r="B50" s="8" t="s">
        <v>300</v>
      </c>
      <c r="C50" s="8" t="s">
        <v>285</v>
      </c>
      <c r="D50" s="8" t="s">
        <v>286</v>
      </c>
      <c r="E50" s="8">
        <v>4</v>
      </c>
      <c r="F50" s="8" t="str">
        <f t="shared" si="4"/>
        <v>Sub-indicator</v>
      </c>
      <c r="G50" s="8">
        <v>1</v>
      </c>
      <c r="H50" s="8" t="s">
        <v>301</v>
      </c>
      <c r="I50" s="8" t="s">
        <v>235</v>
      </c>
      <c r="J50" s="8" t="str">
        <f t="shared" si="2"/>
        <v>RULE OF LAW &amp; JUSTICE</v>
      </c>
      <c r="K50" s="8" t="str">
        <f t="shared" si="3"/>
        <v>SECURITY &amp; RULE OF LAW</v>
      </c>
      <c r="L50" s="8" t="s">
        <v>236</v>
      </c>
      <c r="M50" s="8" t="s">
        <v>237</v>
      </c>
      <c r="N50" s="8" t="s">
        <v>31</v>
      </c>
      <c r="O50" s="8" t="s">
        <v>31</v>
      </c>
      <c r="P50" s="8" t="s">
        <v>31</v>
      </c>
      <c r="Q50" s="9" t="s">
        <v>302</v>
      </c>
      <c r="R50" s="8" t="s">
        <v>239</v>
      </c>
      <c r="S50" s="10">
        <v>45440</v>
      </c>
      <c r="T50" s="8" t="s">
        <v>303</v>
      </c>
      <c r="U50" s="8" t="s">
        <v>154</v>
      </c>
      <c r="V50" s="19" t="s">
        <v>155</v>
      </c>
      <c r="W50" s="8" t="s">
        <v>241</v>
      </c>
      <c r="X50" s="8" t="s">
        <v>242</v>
      </c>
      <c r="Y50" s="8" t="s">
        <v>58</v>
      </c>
      <c r="Z50" s="8" t="s">
        <v>31</v>
      </c>
      <c r="AA50" s="8" t="s">
        <v>304</v>
      </c>
      <c r="AB50" s="8" t="s">
        <v>244</v>
      </c>
    </row>
    <row r="51" spans="1:30">
      <c r="A51" s="8">
        <v>50</v>
      </c>
      <c r="B51" s="8" t="s">
        <v>305</v>
      </c>
      <c r="C51" s="8" t="s">
        <v>285</v>
      </c>
      <c r="D51" s="8" t="s">
        <v>286</v>
      </c>
      <c r="E51" s="8">
        <v>4</v>
      </c>
      <c r="F51" s="8" t="str">
        <f t="shared" si="4"/>
        <v>Sub-indicator</v>
      </c>
      <c r="G51" s="8">
        <v>0</v>
      </c>
      <c r="H51" s="8" t="s">
        <v>306</v>
      </c>
      <c r="I51" s="8" t="s">
        <v>235</v>
      </c>
      <c r="J51" s="8" t="str">
        <f t="shared" si="2"/>
        <v>RULE OF LAW &amp; JUSTICE</v>
      </c>
      <c r="K51" s="8" t="str">
        <f t="shared" si="3"/>
        <v>SECURITY &amp; RULE OF LAW</v>
      </c>
      <c r="L51" s="8" t="s">
        <v>33</v>
      </c>
      <c r="M51" s="8" t="s">
        <v>31</v>
      </c>
      <c r="N51" s="8" t="s">
        <v>31</v>
      </c>
      <c r="O51" s="8" t="s">
        <v>31</v>
      </c>
      <c r="P51" s="8" t="s">
        <v>31</v>
      </c>
      <c r="Q51" s="9" t="s">
        <v>307</v>
      </c>
      <c r="R51" s="8" t="s">
        <v>31</v>
      </c>
      <c r="S51" s="10" t="s">
        <v>31</v>
      </c>
      <c r="T51" s="8" t="s">
        <v>31</v>
      </c>
      <c r="U51" s="8" t="s">
        <v>31</v>
      </c>
      <c r="V51" s="19" t="s">
        <v>31</v>
      </c>
      <c r="W51" s="8" t="s">
        <v>31</v>
      </c>
      <c r="X51" s="8" t="s">
        <v>31</v>
      </c>
      <c r="Y51" s="8" t="s">
        <v>31</v>
      </c>
      <c r="Z51" s="8" t="s">
        <v>31</v>
      </c>
    </row>
    <row r="52" spans="1:30">
      <c r="A52" s="8">
        <v>51</v>
      </c>
      <c r="B52" s="8" t="s">
        <v>308</v>
      </c>
      <c r="C52" s="8" t="s">
        <v>305</v>
      </c>
      <c r="D52" s="8" t="s">
        <v>306</v>
      </c>
      <c r="E52" s="8">
        <v>5</v>
      </c>
      <c r="F52" s="8" t="str">
        <f t="shared" si="4"/>
        <v>Sub-sub-indicator</v>
      </c>
      <c r="G52" s="8">
        <v>1</v>
      </c>
      <c r="H52" s="8" t="s">
        <v>309</v>
      </c>
      <c r="I52" s="8" t="s">
        <v>235</v>
      </c>
      <c r="J52" s="8" t="str">
        <f t="shared" si="2"/>
        <v>RULE OF LAW &amp; JUSTICE</v>
      </c>
      <c r="K52" s="8" t="str">
        <f t="shared" si="3"/>
        <v>SECURITY &amp; RULE OF LAW</v>
      </c>
      <c r="L52" s="8" t="s">
        <v>236</v>
      </c>
      <c r="M52" s="8" t="s">
        <v>237</v>
      </c>
      <c r="N52" s="8" t="s">
        <v>31</v>
      </c>
      <c r="O52" s="8" t="s">
        <v>31</v>
      </c>
      <c r="P52" s="8" t="s">
        <v>31</v>
      </c>
      <c r="Q52" s="9" t="s">
        <v>310</v>
      </c>
      <c r="R52" s="8" t="s">
        <v>239</v>
      </c>
      <c r="S52" s="10">
        <v>45440</v>
      </c>
      <c r="T52" s="8" t="s">
        <v>311</v>
      </c>
      <c r="U52" s="8" t="s">
        <v>154</v>
      </c>
      <c r="V52" s="19" t="s">
        <v>155</v>
      </c>
      <c r="W52" s="8" t="s">
        <v>241</v>
      </c>
      <c r="X52" s="8" t="s">
        <v>242</v>
      </c>
      <c r="Y52" s="8" t="s">
        <v>58</v>
      </c>
      <c r="Z52" s="8" t="s">
        <v>31</v>
      </c>
      <c r="AA52" s="8" t="s">
        <v>312</v>
      </c>
      <c r="AB52" s="8" t="s">
        <v>244</v>
      </c>
    </row>
    <row r="53" spans="1:30">
      <c r="A53" s="8">
        <v>52</v>
      </c>
      <c r="B53" s="8" t="s">
        <v>313</v>
      </c>
      <c r="C53" s="8" t="s">
        <v>305</v>
      </c>
      <c r="D53" s="8" t="s">
        <v>306</v>
      </c>
      <c r="E53" s="8">
        <v>5</v>
      </c>
      <c r="F53" s="8" t="str">
        <f t="shared" si="4"/>
        <v>Sub-sub-indicator</v>
      </c>
      <c r="G53" s="8">
        <v>1</v>
      </c>
      <c r="H53" s="8" t="s">
        <v>314</v>
      </c>
      <c r="I53" s="8" t="s">
        <v>235</v>
      </c>
      <c r="J53" s="8" t="str">
        <f t="shared" si="2"/>
        <v>RULE OF LAW &amp; JUSTICE</v>
      </c>
      <c r="K53" s="8" t="str">
        <f t="shared" si="3"/>
        <v>SECURITY &amp; RULE OF LAW</v>
      </c>
      <c r="L53" s="8" t="s">
        <v>236</v>
      </c>
      <c r="M53" s="8" t="s">
        <v>237</v>
      </c>
      <c r="N53" s="8" t="s">
        <v>31</v>
      </c>
      <c r="O53" s="8" t="s">
        <v>31</v>
      </c>
      <c r="P53" s="8" t="s">
        <v>31</v>
      </c>
      <c r="Q53" s="9" t="s">
        <v>315</v>
      </c>
      <c r="R53" s="8" t="s">
        <v>316</v>
      </c>
      <c r="S53" s="10">
        <v>45461</v>
      </c>
      <c r="T53" s="8" t="s">
        <v>317</v>
      </c>
      <c r="U53" s="8" t="s">
        <v>154</v>
      </c>
      <c r="V53" s="19" t="s">
        <v>155</v>
      </c>
      <c r="W53" s="8" t="s">
        <v>241</v>
      </c>
      <c r="X53" s="8" t="s">
        <v>242</v>
      </c>
      <c r="Y53" s="8" t="s">
        <v>58</v>
      </c>
      <c r="Z53" s="8" t="s">
        <v>31</v>
      </c>
      <c r="AA53" s="8" t="s">
        <v>318</v>
      </c>
      <c r="AB53" s="8" t="s">
        <v>244</v>
      </c>
      <c r="AC53" s="8" t="s">
        <v>319</v>
      </c>
    </row>
    <row r="54" spans="1:30">
      <c r="A54" s="8">
        <v>53</v>
      </c>
      <c r="B54" s="8" t="s">
        <v>320</v>
      </c>
      <c r="C54" s="8" t="s">
        <v>285</v>
      </c>
      <c r="D54" s="8" t="s">
        <v>286</v>
      </c>
      <c r="E54" s="8">
        <v>4</v>
      </c>
      <c r="F54" s="8" t="str">
        <f t="shared" si="4"/>
        <v>Sub-indicator</v>
      </c>
      <c r="G54" s="8">
        <v>0</v>
      </c>
      <c r="H54" s="8" t="s">
        <v>321</v>
      </c>
      <c r="I54" s="8" t="s">
        <v>235</v>
      </c>
      <c r="J54" s="8" t="str">
        <f t="shared" si="2"/>
        <v>RULE OF LAW &amp; JUSTICE</v>
      </c>
      <c r="K54" s="8" t="str">
        <f t="shared" si="3"/>
        <v>SECURITY &amp; RULE OF LAW</v>
      </c>
      <c r="L54" s="8" t="s">
        <v>33</v>
      </c>
      <c r="M54" s="8" t="s">
        <v>31</v>
      </c>
      <c r="N54" s="8" t="s">
        <v>31</v>
      </c>
      <c r="O54" s="8" t="s">
        <v>31</v>
      </c>
      <c r="P54" s="8" t="s">
        <v>31</v>
      </c>
      <c r="Q54" s="9" t="s">
        <v>322</v>
      </c>
      <c r="R54" s="8" t="s">
        <v>31</v>
      </c>
      <c r="S54" s="10" t="s">
        <v>31</v>
      </c>
      <c r="T54" s="8" t="s">
        <v>31</v>
      </c>
      <c r="U54" s="8" t="s">
        <v>31</v>
      </c>
      <c r="V54" s="19" t="s">
        <v>31</v>
      </c>
      <c r="W54" s="8" t="s">
        <v>31</v>
      </c>
      <c r="X54" s="8" t="s">
        <v>31</v>
      </c>
      <c r="Y54" s="8" t="s">
        <v>31</v>
      </c>
      <c r="Z54" s="8" t="s">
        <v>31</v>
      </c>
    </row>
    <row r="55" spans="1:30">
      <c r="A55" s="8">
        <v>54</v>
      </c>
      <c r="B55" s="8" t="s">
        <v>323</v>
      </c>
      <c r="C55" s="8" t="s">
        <v>320</v>
      </c>
      <c r="D55" s="8" t="s">
        <v>321</v>
      </c>
      <c r="E55" s="8">
        <v>5</v>
      </c>
      <c r="F55" s="8" t="str">
        <f t="shared" si="4"/>
        <v>Sub-sub-indicator</v>
      </c>
      <c r="G55" s="8">
        <v>1</v>
      </c>
      <c r="H55" s="8" t="s">
        <v>324</v>
      </c>
      <c r="I55" s="8" t="s">
        <v>235</v>
      </c>
      <c r="J55" s="8" t="str">
        <f t="shared" si="2"/>
        <v>RULE OF LAW &amp; JUSTICE</v>
      </c>
      <c r="K55" s="8" t="str">
        <f t="shared" si="3"/>
        <v>SECURITY &amp; RULE OF LAW</v>
      </c>
      <c r="L55" s="8" t="s">
        <v>236</v>
      </c>
      <c r="M55" s="8" t="s">
        <v>237</v>
      </c>
      <c r="N55" s="8" t="s">
        <v>31</v>
      </c>
      <c r="O55" s="8" t="s">
        <v>31</v>
      </c>
      <c r="P55" s="8" t="s">
        <v>31</v>
      </c>
      <c r="Q55" s="9" t="s">
        <v>325</v>
      </c>
      <c r="R55" s="8" t="s">
        <v>239</v>
      </c>
      <c r="S55" s="10">
        <v>45440</v>
      </c>
      <c r="T55" s="8" t="s">
        <v>326</v>
      </c>
      <c r="U55" s="8" t="s">
        <v>154</v>
      </c>
      <c r="V55" s="19" t="s">
        <v>155</v>
      </c>
      <c r="W55" s="8" t="s">
        <v>241</v>
      </c>
      <c r="X55" s="8" t="s">
        <v>242</v>
      </c>
      <c r="Y55" s="8" t="s">
        <v>58</v>
      </c>
      <c r="Z55" s="8" t="s">
        <v>31</v>
      </c>
      <c r="AA55" s="8" t="s">
        <v>243</v>
      </c>
      <c r="AB55" s="8" t="s">
        <v>244</v>
      </c>
    </row>
    <row r="56" spans="1:30">
      <c r="A56" s="8">
        <v>55</v>
      </c>
      <c r="B56" s="8" t="s">
        <v>327</v>
      </c>
      <c r="C56" s="8" t="s">
        <v>320</v>
      </c>
      <c r="D56" s="8" t="s">
        <v>321</v>
      </c>
      <c r="E56" s="8">
        <v>5</v>
      </c>
      <c r="F56" s="8" t="str">
        <f t="shared" si="4"/>
        <v>Sub-sub-indicator</v>
      </c>
      <c r="G56" s="8">
        <v>1</v>
      </c>
      <c r="H56" s="8" t="s">
        <v>328</v>
      </c>
      <c r="I56" s="8" t="s">
        <v>235</v>
      </c>
      <c r="J56" s="8" t="str">
        <f t="shared" si="2"/>
        <v>RULE OF LAW &amp; JUSTICE</v>
      </c>
      <c r="K56" s="8" t="str">
        <f t="shared" si="3"/>
        <v>SECURITY &amp; RULE OF LAW</v>
      </c>
      <c r="L56" s="8" t="s">
        <v>236</v>
      </c>
      <c r="M56" s="8" t="s">
        <v>237</v>
      </c>
      <c r="N56" s="8" t="s">
        <v>31</v>
      </c>
      <c r="O56" s="8" t="s">
        <v>31</v>
      </c>
      <c r="P56" s="8" t="s">
        <v>31</v>
      </c>
      <c r="Q56" s="9" t="s">
        <v>329</v>
      </c>
      <c r="R56" s="8" t="s">
        <v>316</v>
      </c>
      <c r="S56" s="10">
        <v>45461</v>
      </c>
      <c r="T56" s="8" t="s">
        <v>330</v>
      </c>
      <c r="U56" s="8" t="s">
        <v>154</v>
      </c>
      <c r="V56" s="19" t="s">
        <v>155</v>
      </c>
      <c r="W56" s="8" t="s">
        <v>241</v>
      </c>
      <c r="X56" s="8" t="s">
        <v>242</v>
      </c>
      <c r="Y56" s="8" t="s">
        <v>58</v>
      </c>
      <c r="Z56" s="8" t="s">
        <v>31</v>
      </c>
      <c r="AA56" s="8" t="s">
        <v>331</v>
      </c>
      <c r="AB56" s="8" t="s">
        <v>244</v>
      </c>
      <c r="AC56" s="8" t="s">
        <v>332</v>
      </c>
    </row>
    <row r="57" spans="1:30">
      <c r="A57" s="8">
        <v>56</v>
      </c>
      <c r="B57" s="8" t="s">
        <v>333</v>
      </c>
      <c r="C57" s="8" t="s">
        <v>218</v>
      </c>
      <c r="D57" s="8" t="s">
        <v>219</v>
      </c>
      <c r="E57" s="12">
        <v>3</v>
      </c>
      <c r="F57" s="12" t="str">
        <f t="shared" si="4"/>
        <v>Indicator</v>
      </c>
      <c r="G57" s="8">
        <v>0</v>
      </c>
      <c r="H57" s="12" t="s">
        <v>334</v>
      </c>
      <c r="I57" s="8" t="s">
        <v>335</v>
      </c>
      <c r="J57" s="8" t="str">
        <f>H32</f>
        <v>RULE OF LAW &amp; JUSTICE</v>
      </c>
      <c r="K57" s="8" t="str">
        <f>H3</f>
        <v>SECURITY &amp; RULE OF LAW</v>
      </c>
      <c r="L57" s="8" t="s">
        <v>33</v>
      </c>
      <c r="M57" s="8" t="s">
        <v>31</v>
      </c>
      <c r="N57" s="8" t="s">
        <v>31</v>
      </c>
      <c r="O57" s="8" t="s">
        <v>31</v>
      </c>
      <c r="P57" s="8" t="s">
        <v>31</v>
      </c>
      <c r="Q57" s="9" t="s">
        <v>336</v>
      </c>
      <c r="R57" s="8" t="s">
        <v>31</v>
      </c>
      <c r="S57" s="13" t="s">
        <v>38</v>
      </c>
      <c r="T57" s="8" t="s">
        <v>38</v>
      </c>
      <c r="U57" s="8" t="s">
        <v>31</v>
      </c>
      <c r="V57" s="8" t="s">
        <v>31</v>
      </c>
      <c r="W57" s="8" t="s">
        <v>31</v>
      </c>
      <c r="X57" s="8" t="s">
        <v>31</v>
      </c>
      <c r="Y57" s="8" t="s">
        <v>31</v>
      </c>
      <c r="Z57" s="8" t="s">
        <v>31</v>
      </c>
    </row>
    <row r="58" spans="1:30">
      <c r="A58" s="8">
        <v>57</v>
      </c>
      <c r="B58" s="8" t="s">
        <v>337</v>
      </c>
      <c r="C58" s="8" t="s">
        <v>333</v>
      </c>
      <c r="D58" s="8" t="s">
        <v>334</v>
      </c>
      <c r="E58" s="8">
        <v>4</v>
      </c>
      <c r="F58" s="8" t="str">
        <f t="shared" si="4"/>
        <v>Sub-indicator</v>
      </c>
      <c r="G58" s="8">
        <v>1</v>
      </c>
      <c r="H58" s="8" t="s">
        <v>338</v>
      </c>
      <c r="I58" s="8" t="s">
        <v>339</v>
      </c>
      <c r="J58" s="8" t="str">
        <f t="shared" ref="J58:J65" si="5">$H$32</f>
        <v>RULE OF LAW &amp; JUSTICE</v>
      </c>
      <c r="K58" s="8" t="str">
        <f t="shared" ref="K58:K67" si="6">$H$3</f>
        <v>SECURITY &amp; RULE OF LAW</v>
      </c>
      <c r="L58" s="8" t="s">
        <v>340</v>
      </c>
      <c r="M58" s="8" t="s">
        <v>341</v>
      </c>
      <c r="N58" s="8" t="s">
        <v>31</v>
      </c>
      <c r="O58" s="8" t="s">
        <v>31</v>
      </c>
      <c r="P58" s="8" t="s">
        <v>31</v>
      </c>
      <c r="Q58" s="9" t="s">
        <v>342</v>
      </c>
      <c r="R58" s="8" t="s">
        <v>53</v>
      </c>
      <c r="S58" s="10">
        <v>45428</v>
      </c>
      <c r="T58" s="8" t="s">
        <v>343</v>
      </c>
      <c r="U58" s="8" t="s">
        <v>229</v>
      </c>
      <c r="V58" s="8" t="s">
        <v>155</v>
      </c>
      <c r="W58" s="8" t="s">
        <v>344</v>
      </c>
      <c r="X58" s="8" t="s">
        <v>58</v>
      </c>
      <c r="Y58" s="8" t="s">
        <v>58</v>
      </c>
      <c r="Z58" s="8" t="s">
        <v>31</v>
      </c>
      <c r="AA58" s="8" t="s">
        <v>273</v>
      </c>
      <c r="AB58" s="20"/>
      <c r="AC58" s="20"/>
      <c r="AD58" s="20"/>
    </row>
    <row r="59" spans="1:30">
      <c r="A59" s="8">
        <v>58</v>
      </c>
      <c r="B59" s="8" t="s">
        <v>345</v>
      </c>
      <c r="C59" s="8" t="s">
        <v>333</v>
      </c>
      <c r="D59" s="8" t="s">
        <v>334</v>
      </c>
      <c r="E59" s="8">
        <v>4</v>
      </c>
      <c r="F59" s="8" t="str">
        <f t="shared" si="4"/>
        <v>Sub-indicator</v>
      </c>
      <c r="G59" s="8">
        <v>0</v>
      </c>
      <c r="H59" s="8" t="s">
        <v>346</v>
      </c>
      <c r="I59" s="8" t="s">
        <v>235</v>
      </c>
      <c r="J59" s="8" t="str">
        <f t="shared" si="5"/>
        <v>RULE OF LAW &amp; JUSTICE</v>
      </c>
      <c r="K59" s="8" t="str">
        <f t="shared" si="6"/>
        <v>SECURITY &amp; RULE OF LAW</v>
      </c>
      <c r="L59" s="8" t="s">
        <v>33</v>
      </c>
      <c r="M59" s="8" t="s">
        <v>31</v>
      </c>
      <c r="N59" s="8" t="s">
        <v>31</v>
      </c>
      <c r="O59" s="8" t="s">
        <v>31</v>
      </c>
      <c r="P59" s="8" t="s">
        <v>31</v>
      </c>
      <c r="Q59" s="9" t="s">
        <v>347</v>
      </c>
      <c r="R59" s="8" t="s">
        <v>31</v>
      </c>
      <c r="S59" s="10" t="s">
        <v>31</v>
      </c>
      <c r="T59" s="8" t="s">
        <v>31</v>
      </c>
      <c r="U59" s="8" t="s">
        <v>31</v>
      </c>
      <c r="V59" s="8" t="s">
        <v>31</v>
      </c>
      <c r="W59" s="8" t="s">
        <v>31</v>
      </c>
      <c r="X59" s="8" t="s">
        <v>31</v>
      </c>
      <c r="Y59" s="8" t="s">
        <v>31</v>
      </c>
      <c r="Z59" s="8" t="s">
        <v>31</v>
      </c>
    </row>
    <row r="60" spans="1:30">
      <c r="A60" s="8">
        <v>59</v>
      </c>
      <c r="B60" s="8" t="s">
        <v>348</v>
      </c>
      <c r="C60" s="8" t="s">
        <v>345</v>
      </c>
      <c r="D60" s="8" t="s">
        <v>346</v>
      </c>
      <c r="E60" s="8">
        <v>5</v>
      </c>
      <c r="F60" s="8" t="str">
        <f t="shared" si="4"/>
        <v>Sub-sub-indicator</v>
      </c>
      <c r="G60" s="8">
        <v>1</v>
      </c>
      <c r="H60" s="8" t="s">
        <v>349</v>
      </c>
      <c r="I60" s="8" t="s">
        <v>235</v>
      </c>
      <c r="J60" s="8" t="str">
        <f t="shared" si="5"/>
        <v>RULE OF LAW &amp; JUSTICE</v>
      </c>
      <c r="K60" s="8" t="str">
        <f t="shared" si="6"/>
        <v>SECURITY &amp; RULE OF LAW</v>
      </c>
      <c r="L60" s="8" t="s">
        <v>236</v>
      </c>
      <c r="M60" s="8" t="s">
        <v>237</v>
      </c>
      <c r="N60" s="8" t="s">
        <v>31</v>
      </c>
      <c r="O60" s="8" t="s">
        <v>31</v>
      </c>
      <c r="P60" s="8" t="s">
        <v>31</v>
      </c>
      <c r="Q60" s="9" t="s">
        <v>350</v>
      </c>
      <c r="R60" s="8" t="s">
        <v>239</v>
      </c>
      <c r="S60" s="10">
        <v>45440</v>
      </c>
      <c r="T60" s="8" t="s">
        <v>351</v>
      </c>
      <c r="U60" s="8" t="s">
        <v>154</v>
      </c>
      <c r="V60" s="8" t="s">
        <v>155</v>
      </c>
      <c r="W60" s="8" t="s">
        <v>241</v>
      </c>
      <c r="X60" s="8" t="s">
        <v>242</v>
      </c>
      <c r="Y60" s="8" t="s">
        <v>58</v>
      </c>
      <c r="Z60" s="8" t="s">
        <v>31</v>
      </c>
      <c r="AA60" s="8" t="s">
        <v>352</v>
      </c>
      <c r="AB60" s="8" t="s">
        <v>244</v>
      </c>
    </row>
    <row r="61" spans="1:30">
      <c r="A61" s="8">
        <v>60</v>
      </c>
      <c r="B61" s="8" t="s">
        <v>353</v>
      </c>
      <c r="C61" s="8" t="s">
        <v>345</v>
      </c>
      <c r="D61" s="8" t="s">
        <v>346</v>
      </c>
      <c r="E61" s="8">
        <v>5</v>
      </c>
      <c r="F61" s="8" t="str">
        <f t="shared" si="4"/>
        <v>Sub-sub-indicator</v>
      </c>
      <c r="G61" s="8">
        <v>1</v>
      </c>
      <c r="H61" s="8" t="s">
        <v>354</v>
      </c>
      <c r="I61" s="8" t="s">
        <v>235</v>
      </c>
      <c r="J61" s="8" t="str">
        <f t="shared" si="5"/>
        <v>RULE OF LAW &amp; JUSTICE</v>
      </c>
      <c r="K61" s="8" t="str">
        <f t="shared" si="6"/>
        <v>SECURITY &amp; RULE OF LAW</v>
      </c>
      <c r="L61" s="8" t="s">
        <v>236</v>
      </c>
      <c r="M61" s="8" t="s">
        <v>237</v>
      </c>
      <c r="N61" s="8" t="s">
        <v>31</v>
      </c>
      <c r="O61" s="8" t="s">
        <v>31</v>
      </c>
      <c r="P61" s="8" t="s">
        <v>31</v>
      </c>
      <c r="Q61" s="9" t="s">
        <v>355</v>
      </c>
      <c r="R61" s="8" t="s">
        <v>239</v>
      </c>
      <c r="S61" s="10">
        <v>45440</v>
      </c>
      <c r="T61" s="8" t="s">
        <v>356</v>
      </c>
      <c r="U61" s="8" t="s">
        <v>154</v>
      </c>
      <c r="V61" s="8" t="s">
        <v>155</v>
      </c>
      <c r="W61" s="8" t="s">
        <v>241</v>
      </c>
      <c r="X61" s="8" t="s">
        <v>242</v>
      </c>
      <c r="Y61" s="8" t="s">
        <v>357</v>
      </c>
      <c r="Z61" s="8" t="s">
        <v>31</v>
      </c>
      <c r="AA61" s="8" t="s">
        <v>243</v>
      </c>
      <c r="AB61" s="8" t="s">
        <v>244</v>
      </c>
    </row>
    <row r="62" spans="1:30">
      <c r="A62" s="8">
        <v>61</v>
      </c>
      <c r="B62" s="8" t="s">
        <v>358</v>
      </c>
      <c r="C62" s="8" t="s">
        <v>218</v>
      </c>
      <c r="D62" s="8" t="s">
        <v>219</v>
      </c>
      <c r="E62" s="12">
        <v>3</v>
      </c>
      <c r="F62" s="12" t="str">
        <f t="shared" si="4"/>
        <v>Indicator</v>
      </c>
      <c r="G62" s="8">
        <v>0</v>
      </c>
      <c r="H62" s="12" t="s">
        <v>359</v>
      </c>
      <c r="I62" s="8" t="s">
        <v>360</v>
      </c>
      <c r="J62" s="8" t="str">
        <f t="shared" si="5"/>
        <v>RULE OF LAW &amp; JUSTICE</v>
      </c>
      <c r="K62" s="8" t="str">
        <f t="shared" si="6"/>
        <v>SECURITY &amp; RULE OF LAW</v>
      </c>
      <c r="L62" s="8" t="s">
        <v>33</v>
      </c>
      <c r="M62" s="8" t="s">
        <v>31</v>
      </c>
      <c r="N62" s="8" t="s">
        <v>31</v>
      </c>
      <c r="O62" s="8" t="s">
        <v>31</v>
      </c>
      <c r="P62" s="8" t="s">
        <v>31</v>
      </c>
      <c r="Q62" s="9" t="s">
        <v>361</v>
      </c>
      <c r="R62" s="8" t="s">
        <v>31</v>
      </c>
      <c r="S62" s="10" t="s">
        <v>31</v>
      </c>
      <c r="T62" s="8" t="s">
        <v>31</v>
      </c>
      <c r="U62" s="8" t="s">
        <v>31</v>
      </c>
      <c r="V62" s="8" t="s">
        <v>31</v>
      </c>
      <c r="W62" s="8" t="s">
        <v>31</v>
      </c>
      <c r="X62" s="8" t="s">
        <v>31</v>
      </c>
      <c r="Y62" s="8" t="s">
        <v>31</v>
      </c>
      <c r="Z62" s="8" t="s">
        <v>31</v>
      </c>
    </row>
    <row r="63" spans="1:30">
      <c r="A63" s="8">
        <v>62</v>
      </c>
      <c r="B63" s="8" t="s">
        <v>362</v>
      </c>
      <c r="C63" s="8" t="s">
        <v>358</v>
      </c>
      <c r="D63" s="8" t="s">
        <v>359</v>
      </c>
      <c r="E63" s="8">
        <v>4</v>
      </c>
      <c r="F63" s="8" t="str">
        <f t="shared" si="4"/>
        <v>Sub-indicator</v>
      </c>
      <c r="G63" s="8">
        <v>0</v>
      </c>
      <c r="H63" s="8" t="s">
        <v>363</v>
      </c>
      <c r="I63" s="8" t="s">
        <v>360</v>
      </c>
      <c r="J63" s="8" t="str">
        <f t="shared" si="5"/>
        <v>RULE OF LAW &amp; JUSTICE</v>
      </c>
      <c r="K63" s="8" t="str">
        <f t="shared" si="6"/>
        <v>SECURITY &amp; RULE OF LAW</v>
      </c>
      <c r="L63" s="8" t="s">
        <v>33</v>
      </c>
      <c r="M63" s="8" t="s">
        <v>31</v>
      </c>
      <c r="N63" s="8" t="s">
        <v>31</v>
      </c>
      <c r="O63" s="8" t="s">
        <v>31</v>
      </c>
      <c r="P63" s="8" t="s">
        <v>31</v>
      </c>
      <c r="Q63" s="9" t="s">
        <v>364</v>
      </c>
      <c r="R63" s="8" t="s">
        <v>31</v>
      </c>
      <c r="S63" s="10" t="s">
        <v>31</v>
      </c>
      <c r="T63" s="8" t="s">
        <v>31</v>
      </c>
      <c r="U63" s="8" t="s">
        <v>31</v>
      </c>
      <c r="V63" s="8" t="s">
        <v>31</v>
      </c>
      <c r="W63" s="8" t="s">
        <v>31</v>
      </c>
      <c r="X63" s="8" t="s">
        <v>31</v>
      </c>
      <c r="Y63" s="8" t="s">
        <v>31</v>
      </c>
      <c r="Z63" s="8" t="s">
        <v>31</v>
      </c>
    </row>
    <row r="64" spans="1:30">
      <c r="A64" s="8">
        <v>63</v>
      </c>
      <c r="B64" s="8" t="s">
        <v>365</v>
      </c>
      <c r="C64" s="8" t="s">
        <v>362</v>
      </c>
      <c r="D64" s="8" t="s">
        <v>363</v>
      </c>
      <c r="E64" s="8">
        <v>5</v>
      </c>
      <c r="F64" s="8" t="str">
        <f t="shared" si="4"/>
        <v>Sub-sub-indicator</v>
      </c>
      <c r="G64" s="8">
        <v>1</v>
      </c>
      <c r="H64" s="8" t="s">
        <v>366</v>
      </c>
      <c r="I64" s="8" t="s">
        <v>367</v>
      </c>
      <c r="J64" s="8" t="str">
        <f t="shared" si="5"/>
        <v>RULE OF LAW &amp; JUSTICE</v>
      </c>
      <c r="K64" s="8" t="str">
        <f t="shared" si="6"/>
        <v>SECURITY &amp; RULE OF LAW</v>
      </c>
      <c r="L64" s="8" t="s">
        <v>368</v>
      </c>
      <c r="M64" s="8" t="s">
        <v>369</v>
      </c>
      <c r="N64" s="8" t="s">
        <v>31</v>
      </c>
      <c r="O64" s="8" t="s">
        <v>31</v>
      </c>
      <c r="P64" s="8" t="s">
        <v>31</v>
      </c>
      <c r="Q64" s="9" t="s">
        <v>370</v>
      </c>
      <c r="R64" s="8" t="s">
        <v>97</v>
      </c>
      <c r="S64" s="10">
        <v>45484</v>
      </c>
      <c r="T64" s="8" t="s">
        <v>371</v>
      </c>
      <c r="U64" s="8" t="s">
        <v>372</v>
      </c>
      <c r="V64" s="8" t="s">
        <v>155</v>
      </c>
      <c r="W64" s="8" t="s">
        <v>373</v>
      </c>
      <c r="X64" s="8" t="s">
        <v>374</v>
      </c>
      <c r="Y64" s="8" t="s">
        <v>375</v>
      </c>
      <c r="Z64" s="8" t="s">
        <v>31</v>
      </c>
      <c r="AA64" s="8" t="s">
        <v>376</v>
      </c>
    </row>
    <row r="65" spans="1:29">
      <c r="A65" s="8">
        <v>64</v>
      </c>
      <c r="B65" s="8" t="s">
        <v>377</v>
      </c>
      <c r="C65" s="8" t="s">
        <v>362</v>
      </c>
      <c r="D65" s="8" t="s">
        <v>363</v>
      </c>
      <c r="E65" s="8">
        <v>5</v>
      </c>
      <c r="F65" s="8" t="str">
        <f t="shared" si="4"/>
        <v>Sub-sub-indicator</v>
      </c>
      <c r="G65" s="8">
        <v>1</v>
      </c>
      <c r="H65" s="8" t="s">
        <v>378</v>
      </c>
      <c r="I65" s="8" t="s">
        <v>267</v>
      </c>
      <c r="J65" s="8" t="str">
        <f t="shared" si="5"/>
        <v>RULE OF LAW &amp; JUSTICE</v>
      </c>
      <c r="K65" s="8" t="str">
        <f t="shared" si="6"/>
        <v>SECURITY &amp; RULE OF LAW</v>
      </c>
      <c r="L65" s="8" t="s">
        <v>268</v>
      </c>
      <c r="M65" s="8" t="s">
        <v>269</v>
      </c>
      <c r="N65" s="8" t="s">
        <v>31</v>
      </c>
      <c r="O65" s="8" t="s">
        <v>31</v>
      </c>
      <c r="P65" s="8" t="s">
        <v>31</v>
      </c>
      <c r="Q65" s="9" t="s">
        <v>379</v>
      </c>
      <c r="R65" s="8" t="s">
        <v>53</v>
      </c>
      <c r="S65" s="10">
        <v>45481</v>
      </c>
      <c r="T65" s="8" t="s">
        <v>380</v>
      </c>
      <c r="U65" s="8" t="s">
        <v>196</v>
      </c>
      <c r="V65" s="8" t="s">
        <v>155</v>
      </c>
      <c r="W65" s="8" t="s">
        <v>272</v>
      </c>
      <c r="X65" s="8" t="s">
        <v>58</v>
      </c>
      <c r="Y65" s="8" t="s">
        <v>58</v>
      </c>
      <c r="Z65" s="8" t="s">
        <v>31</v>
      </c>
      <c r="AA65" s="8" t="s">
        <v>273</v>
      </c>
    </row>
    <row r="66" spans="1:29">
      <c r="A66" s="8">
        <v>65</v>
      </c>
      <c r="B66" s="8" t="s">
        <v>381</v>
      </c>
      <c r="C66" s="8" t="s">
        <v>362</v>
      </c>
      <c r="D66" s="8" t="s">
        <v>363</v>
      </c>
      <c r="E66" s="8">
        <v>5</v>
      </c>
      <c r="F66" s="8" t="s">
        <v>92</v>
      </c>
      <c r="G66" s="8">
        <v>1</v>
      </c>
      <c r="H66" s="8" t="s">
        <v>382</v>
      </c>
      <c r="I66" s="8" t="s">
        <v>235</v>
      </c>
      <c r="J66" s="8" t="s">
        <v>219</v>
      </c>
      <c r="K66" s="8" t="str">
        <f t="shared" si="6"/>
        <v>SECURITY &amp; RULE OF LAW</v>
      </c>
      <c r="L66" s="8" t="s">
        <v>236</v>
      </c>
      <c r="M66" s="8" t="s">
        <v>237</v>
      </c>
      <c r="N66" s="8" t="s">
        <v>31</v>
      </c>
      <c r="O66" s="8" t="s">
        <v>31</v>
      </c>
      <c r="P66" s="8" t="s">
        <v>31</v>
      </c>
      <c r="Q66" s="9" t="s">
        <v>383</v>
      </c>
      <c r="R66" s="8" t="s">
        <v>239</v>
      </c>
      <c r="S66" s="10">
        <v>45461</v>
      </c>
      <c r="T66" s="8" t="s">
        <v>384</v>
      </c>
      <c r="U66" s="8" t="s">
        <v>154</v>
      </c>
      <c r="V66" s="8" t="s">
        <v>155</v>
      </c>
      <c r="W66" s="8" t="s">
        <v>241</v>
      </c>
      <c r="X66" s="8" t="s">
        <v>242</v>
      </c>
      <c r="Y66" s="8" t="s">
        <v>58</v>
      </c>
      <c r="Z66" s="8" t="s">
        <v>31</v>
      </c>
      <c r="AA66" s="8" t="s">
        <v>385</v>
      </c>
      <c r="AB66" s="8" t="s">
        <v>244</v>
      </c>
      <c r="AC66" s="8" t="s">
        <v>386</v>
      </c>
    </row>
    <row r="67" spans="1:29">
      <c r="A67" s="8">
        <v>66</v>
      </c>
      <c r="B67" s="8" t="s">
        <v>387</v>
      </c>
      <c r="C67" s="8" t="s">
        <v>358</v>
      </c>
      <c r="D67" s="8" t="s">
        <v>359</v>
      </c>
      <c r="E67" s="8">
        <v>4</v>
      </c>
      <c r="F67" s="8" t="str">
        <f t="shared" ref="F67:F130" si="7">IF(E67=0,"Overall",IF(E67=1,"Category",IF(E67=2,"Sub-category",IF(E67=3,"Indicator",IF(E67=4,"Sub-indicator", "Sub-sub-indicator")))))</f>
        <v>Sub-indicator</v>
      </c>
      <c r="G67" s="8">
        <v>1</v>
      </c>
      <c r="H67" s="8" t="s">
        <v>388</v>
      </c>
      <c r="I67" s="8" t="s">
        <v>235</v>
      </c>
      <c r="J67" s="8" t="str">
        <f>$H$32</f>
        <v>RULE OF LAW &amp; JUSTICE</v>
      </c>
      <c r="K67" s="8" t="str">
        <f t="shared" si="6"/>
        <v>SECURITY &amp; RULE OF LAW</v>
      </c>
      <c r="L67" s="8" t="s">
        <v>236</v>
      </c>
      <c r="M67" s="8" t="s">
        <v>237</v>
      </c>
      <c r="N67" s="8" t="s">
        <v>31</v>
      </c>
      <c r="O67" s="8" t="s">
        <v>31</v>
      </c>
      <c r="P67" s="8" t="s">
        <v>31</v>
      </c>
      <c r="Q67" s="9" t="s">
        <v>389</v>
      </c>
      <c r="R67" s="8" t="s">
        <v>390</v>
      </c>
      <c r="S67" s="10">
        <v>45461</v>
      </c>
      <c r="T67" s="8" t="s">
        <v>391</v>
      </c>
      <c r="U67" s="8" t="s">
        <v>154</v>
      </c>
      <c r="V67" s="8" t="s">
        <v>155</v>
      </c>
      <c r="W67" s="8" t="s">
        <v>241</v>
      </c>
      <c r="X67" s="8" t="s">
        <v>242</v>
      </c>
      <c r="Y67" s="8" t="s">
        <v>58</v>
      </c>
      <c r="Z67" s="8" t="s">
        <v>31</v>
      </c>
      <c r="AA67" s="8" t="s">
        <v>392</v>
      </c>
      <c r="AB67" s="8" t="s">
        <v>244</v>
      </c>
      <c r="AC67" s="8" t="s">
        <v>393</v>
      </c>
    </row>
    <row r="68" spans="1:29">
      <c r="A68" s="8">
        <v>67</v>
      </c>
      <c r="B68" s="8" t="s">
        <v>394</v>
      </c>
      <c r="C68" s="8" t="s">
        <v>218</v>
      </c>
      <c r="D68" s="8" t="s">
        <v>219</v>
      </c>
      <c r="E68" s="12">
        <v>3</v>
      </c>
      <c r="F68" s="12" t="str">
        <f t="shared" si="7"/>
        <v>Indicator</v>
      </c>
      <c r="G68" s="8">
        <v>0</v>
      </c>
      <c r="H68" s="12" t="s">
        <v>395</v>
      </c>
      <c r="I68" s="8" t="s">
        <v>396</v>
      </c>
      <c r="J68" s="8" t="str">
        <f>H32</f>
        <v>RULE OF LAW &amp; JUSTICE</v>
      </c>
      <c r="K68" s="8" t="str">
        <f>H3</f>
        <v>SECURITY &amp; RULE OF LAW</v>
      </c>
      <c r="L68" s="8" t="s">
        <v>33</v>
      </c>
      <c r="M68" s="8" t="s">
        <v>31</v>
      </c>
      <c r="N68" s="8" t="s">
        <v>31</v>
      </c>
      <c r="O68" s="8" t="s">
        <v>31</v>
      </c>
      <c r="P68" s="8" t="s">
        <v>31</v>
      </c>
      <c r="Q68" s="9" t="s">
        <v>397</v>
      </c>
      <c r="R68" s="8" t="s">
        <v>31</v>
      </c>
      <c r="S68" s="10" t="s">
        <v>31</v>
      </c>
      <c r="T68" s="8" t="s">
        <v>31</v>
      </c>
      <c r="U68" s="8" t="s">
        <v>31</v>
      </c>
      <c r="V68" s="8" t="s">
        <v>31</v>
      </c>
      <c r="W68" s="8" t="s">
        <v>31</v>
      </c>
      <c r="X68" s="8" t="s">
        <v>31</v>
      </c>
      <c r="Y68" s="8" t="s">
        <v>31</v>
      </c>
      <c r="Z68" s="8" t="s">
        <v>31</v>
      </c>
    </row>
    <row r="69" spans="1:29">
      <c r="A69" s="8">
        <v>68</v>
      </c>
      <c r="B69" s="8" t="s">
        <v>398</v>
      </c>
      <c r="C69" s="8" t="s">
        <v>394</v>
      </c>
      <c r="D69" s="8" t="s">
        <v>395</v>
      </c>
      <c r="E69" s="8">
        <v>4</v>
      </c>
      <c r="F69" s="8" t="str">
        <f t="shared" si="7"/>
        <v>Sub-indicator</v>
      </c>
      <c r="G69" s="8">
        <v>1</v>
      </c>
      <c r="H69" s="8" t="s">
        <v>399</v>
      </c>
      <c r="I69" s="8" t="s">
        <v>400</v>
      </c>
      <c r="J69" s="8" t="str">
        <f>$H$32</f>
        <v>RULE OF LAW &amp; JUSTICE</v>
      </c>
      <c r="K69" s="8" t="str">
        <f>$H$3</f>
        <v>SECURITY &amp; RULE OF LAW</v>
      </c>
      <c r="L69" s="8" t="s">
        <v>401</v>
      </c>
      <c r="M69" s="8" t="s">
        <v>402</v>
      </c>
      <c r="N69" s="8" t="s">
        <v>31</v>
      </c>
      <c r="O69" s="8" t="s">
        <v>31</v>
      </c>
      <c r="P69" s="8" t="s">
        <v>31</v>
      </c>
      <c r="Q69" s="9" t="s">
        <v>403</v>
      </c>
      <c r="R69" s="8" t="s">
        <v>404</v>
      </c>
      <c r="S69" s="10">
        <v>45427</v>
      </c>
      <c r="T69" s="8" t="s">
        <v>405</v>
      </c>
      <c r="U69" s="14" t="s">
        <v>144</v>
      </c>
      <c r="V69" s="8" t="s">
        <v>155</v>
      </c>
      <c r="W69" s="8" t="s">
        <v>406</v>
      </c>
      <c r="X69" s="8" t="s">
        <v>407</v>
      </c>
      <c r="Y69" s="8" t="s">
        <v>58</v>
      </c>
      <c r="Z69" s="8" t="s">
        <v>31</v>
      </c>
      <c r="AA69" s="8" t="s">
        <v>408</v>
      </c>
      <c r="AB69" s="8" t="s">
        <v>409</v>
      </c>
    </row>
    <row r="70" spans="1:29">
      <c r="A70" s="8">
        <v>69</v>
      </c>
      <c r="B70" s="8" t="s">
        <v>410</v>
      </c>
      <c r="C70" s="8" t="s">
        <v>394</v>
      </c>
      <c r="D70" s="8" t="s">
        <v>395</v>
      </c>
      <c r="E70" s="8">
        <v>4</v>
      </c>
      <c r="F70" s="8" t="str">
        <f t="shared" si="7"/>
        <v>Sub-indicator</v>
      </c>
      <c r="G70" s="8">
        <v>1</v>
      </c>
      <c r="H70" s="8" t="s">
        <v>411</v>
      </c>
      <c r="I70" s="8" t="s">
        <v>235</v>
      </c>
      <c r="J70" s="8" t="str">
        <f>$H$32</f>
        <v>RULE OF LAW &amp; JUSTICE</v>
      </c>
      <c r="K70" s="8" t="str">
        <f>$H$3</f>
        <v>SECURITY &amp; RULE OF LAW</v>
      </c>
      <c r="L70" s="8" t="s">
        <v>236</v>
      </c>
      <c r="M70" s="8" t="s">
        <v>237</v>
      </c>
      <c r="N70" s="8" t="s">
        <v>31</v>
      </c>
      <c r="O70" s="8" t="s">
        <v>31</v>
      </c>
      <c r="P70" s="8" t="s">
        <v>31</v>
      </c>
      <c r="Q70" s="9" t="s">
        <v>412</v>
      </c>
      <c r="R70" s="8" t="s">
        <v>316</v>
      </c>
      <c r="S70" s="10">
        <v>45461</v>
      </c>
      <c r="T70" s="8" t="s">
        <v>413</v>
      </c>
      <c r="U70" s="8" t="s">
        <v>154</v>
      </c>
      <c r="V70" s="8" t="s">
        <v>155</v>
      </c>
      <c r="W70" s="8" t="s">
        <v>241</v>
      </c>
      <c r="X70" s="8" t="s">
        <v>242</v>
      </c>
      <c r="Y70" s="8" t="s">
        <v>58</v>
      </c>
      <c r="Z70" s="8" t="s">
        <v>31</v>
      </c>
      <c r="AA70" s="8" t="s">
        <v>318</v>
      </c>
      <c r="AB70" s="8" t="s">
        <v>244</v>
      </c>
      <c r="AC70" s="8" t="s">
        <v>414</v>
      </c>
    </row>
    <row r="71" spans="1:29">
      <c r="A71" s="8">
        <v>70</v>
      </c>
      <c r="B71" s="8" t="s">
        <v>415</v>
      </c>
      <c r="C71" s="8" t="s">
        <v>394</v>
      </c>
      <c r="D71" s="8" t="s">
        <v>395</v>
      </c>
      <c r="E71" s="8">
        <v>4</v>
      </c>
      <c r="F71" s="8" t="str">
        <f t="shared" si="7"/>
        <v>Sub-indicator</v>
      </c>
      <c r="G71" s="8">
        <v>1</v>
      </c>
      <c r="H71" s="8" t="s">
        <v>416</v>
      </c>
      <c r="I71" s="8" t="s">
        <v>149</v>
      </c>
      <c r="J71" s="8" t="str">
        <f>H32</f>
        <v>RULE OF LAW &amp; JUSTICE</v>
      </c>
      <c r="K71" s="8" t="str">
        <f>H3</f>
        <v>SECURITY &amp; RULE OF LAW</v>
      </c>
      <c r="L71" s="8" t="s">
        <v>150</v>
      </c>
      <c r="M71" s="8" t="s">
        <v>151</v>
      </c>
      <c r="N71" s="8" t="s">
        <v>31</v>
      </c>
      <c r="O71" s="8" t="s">
        <v>31</v>
      </c>
      <c r="P71" s="8" t="s">
        <v>31</v>
      </c>
      <c r="Q71" s="9" t="s">
        <v>417</v>
      </c>
      <c r="R71" s="8" t="s">
        <v>53</v>
      </c>
      <c r="S71" s="10">
        <v>45432</v>
      </c>
      <c r="T71" s="8" t="s">
        <v>418</v>
      </c>
      <c r="U71" s="8" t="s">
        <v>154</v>
      </c>
      <c r="V71" s="8" t="s">
        <v>155</v>
      </c>
      <c r="W71" s="8" t="s">
        <v>156</v>
      </c>
      <c r="X71" s="8" t="s">
        <v>58</v>
      </c>
      <c r="Y71" s="8" t="s">
        <v>58</v>
      </c>
      <c r="Z71" s="8" t="s">
        <v>31</v>
      </c>
      <c r="AB71" s="8" t="s">
        <v>157</v>
      </c>
    </row>
    <row r="72" spans="1:29">
      <c r="A72" s="8">
        <v>71</v>
      </c>
      <c r="B72" s="8" t="s">
        <v>419</v>
      </c>
      <c r="C72" s="8" t="s">
        <v>218</v>
      </c>
      <c r="D72" s="8" t="s">
        <v>219</v>
      </c>
      <c r="E72" s="12">
        <v>3</v>
      </c>
      <c r="F72" s="12" t="s">
        <v>186</v>
      </c>
      <c r="G72" s="8">
        <v>0</v>
      </c>
      <c r="H72" s="12" t="s">
        <v>420</v>
      </c>
      <c r="I72" s="8" t="s">
        <v>188</v>
      </c>
      <c r="J72" s="8" t="s">
        <v>219</v>
      </c>
      <c r="K72" s="8" t="s">
        <v>37</v>
      </c>
      <c r="L72" s="8" t="s">
        <v>33</v>
      </c>
      <c r="M72" s="8" t="s">
        <v>31</v>
      </c>
      <c r="N72" s="8" t="s">
        <v>31</v>
      </c>
      <c r="O72" s="8" t="s">
        <v>31</v>
      </c>
      <c r="P72" s="8" t="s">
        <v>31</v>
      </c>
      <c r="Q72" s="9" t="s">
        <v>421</v>
      </c>
      <c r="R72" s="8" t="s">
        <v>31</v>
      </c>
      <c r="S72" s="10" t="s">
        <v>31</v>
      </c>
      <c r="T72" s="8" t="s">
        <v>31</v>
      </c>
      <c r="U72" s="8" t="s">
        <v>31</v>
      </c>
      <c r="V72" s="8" t="s">
        <v>31</v>
      </c>
      <c r="W72" s="8" t="s">
        <v>31</v>
      </c>
      <c r="X72" s="8" t="s">
        <v>31</v>
      </c>
      <c r="Y72" s="8" t="s">
        <v>31</v>
      </c>
      <c r="Z72" s="8" t="s">
        <v>31</v>
      </c>
    </row>
    <row r="73" spans="1:29">
      <c r="A73" s="8">
        <v>72</v>
      </c>
      <c r="B73" s="8" t="s">
        <v>422</v>
      </c>
      <c r="C73" s="8" t="s">
        <v>419</v>
      </c>
      <c r="D73" s="8" t="s">
        <v>420</v>
      </c>
      <c r="E73" s="8">
        <v>4</v>
      </c>
      <c r="F73" s="8" t="s">
        <v>136</v>
      </c>
      <c r="G73" s="8">
        <v>1</v>
      </c>
      <c r="H73" s="8" t="s">
        <v>423</v>
      </c>
      <c r="I73" s="8" t="s">
        <v>188</v>
      </c>
      <c r="J73" s="8" t="s">
        <v>219</v>
      </c>
      <c r="K73" s="8" t="s">
        <v>37</v>
      </c>
      <c r="L73" s="8" t="s">
        <v>192</v>
      </c>
      <c r="M73" s="8" t="s">
        <v>193</v>
      </c>
      <c r="N73" s="8" t="s">
        <v>31</v>
      </c>
      <c r="O73" s="8" t="s">
        <v>31</v>
      </c>
      <c r="P73" s="8" t="s">
        <v>31</v>
      </c>
      <c r="Q73" s="8" t="s">
        <v>424</v>
      </c>
      <c r="R73" s="8" t="s">
        <v>53</v>
      </c>
      <c r="S73" s="10">
        <v>45474</v>
      </c>
      <c r="T73" s="8" t="s">
        <v>425</v>
      </c>
      <c r="U73" s="8" t="s">
        <v>196</v>
      </c>
      <c r="V73" s="8" t="s">
        <v>197</v>
      </c>
      <c r="W73" s="8" t="s">
        <v>198</v>
      </c>
      <c r="X73" s="8" t="s">
        <v>199</v>
      </c>
      <c r="Y73" s="8" t="s">
        <v>200</v>
      </c>
      <c r="Z73" s="8" t="s">
        <v>31</v>
      </c>
      <c r="AA73" s="8" t="s">
        <v>201</v>
      </c>
      <c r="AB73" s="8" t="s">
        <v>202</v>
      </c>
    </row>
    <row r="74" spans="1:29">
      <c r="A74" s="8">
        <v>73</v>
      </c>
      <c r="B74" s="8" t="s">
        <v>426</v>
      </c>
      <c r="C74" s="8" t="s">
        <v>419</v>
      </c>
      <c r="D74" s="8" t="s">
        <v>420</v>
      </c>
      <c r="E74" s="8">
        <v>4</v>
      </c>
      <c r="F74" s="8" t="s">
        <v>136</v>
      </c>
      <c r="G74" s="8">
        <v>1</v>
      </c>
      <c r="H74" s="8" t="s">
        <v>427</v>
      </c>
      <c r="I74" s="8" t="s">
        <v>188</v>
      </c>
      <c r="J74" s="8" t="s">
        <v>219</v>
      </c>
      <c r="K74" s="8" t="s">
        <v>37</v>
      </c>
      <c r="L74" s="8" t="s">
        <v>192</v>
      </c>
      <c r="M74" s="8" t="s">
        <v>193</v>
      </c>
      <c r="N74" s="8" t="s">
        <v>31</v>
      </c>
      <c r="O74" s="8" t="s">
        <v>31</v>
      </c>
      <c r="P74" s="8" t="s">
        <v>31</v>
      </c>
      <c r="Q74" s="8" t="s">
        <v>428</v>
      </c>
      <c r="R74" s="8" t="s">
        <v>53</v>
      </c>
      <c r="S74" s="10">
        <v>45474</v>
      </c>
      <c r="T74" s="8" t="s">
        <v>429</v>
      </c>
      <c r="U74" s="8" t="s">
        <v>196</v>
      </c>
      <c r="V74" s="8" t="s">
        <v>197</v>
      </c>
      <c r="W74" s="8" t="s">
        <v>198</v>
      </c>
      <c r="X74" s="8" t="s">
        <v>199</v>
      </c>
      <c r="Y74" s="8" t="s">
        <v>200</v>
      </c>
      <c r="Z74" s="8" t="s">
        <v>31</v>
      </c>
      <c r="AA74" s="8" t="s">
        <v>201</v>
      </c>
      <c r="AB74" s="8" t="s">
        <v>202</v>
      </c>
    </row>
    <row r="75" spans="1:29" s="6" customFormat="1">
      <c r="A75" s="6">
        <v>74</v>
      </c>
      <c r="B75" s="6" t="s">
        <v>430</v>
      </c>
      <c r="C75" s="6" t="s">
        <v>36</v>
      </c>
      <c r="D75" s="6" t="s">
        <v>37</v>
      </c>
      <c r="E75" s="6">
        <v>2</v>
      </c>
      <c r="F75" s="6" t="str">
        <f t="shared" si="7"/>
        <v>Sub-category</v>
      </c>
      <c r="G75" s="6">
        <v>0</v>
      </c>
      <c r="H75" s="6" t="s">
        <v>431</v>
      </c>
      <c r="I75" s="7" t="s">
        <v>31</v>
      </c>
      <c r="J75" s="6" t="s">
        <v>31</v>
      </c>
      <c r="K75" s="6" t="str">
        <f>H3</f>
        <v>SECURITY &amp; RULE OF LAW</v>
      </c>
      <c r="L75" s="6" t="s">
        <v>33</v>
      </c>
      <c r="M75" s="6" t="s">
        <v>31</v>
      </c>
      <c r="N75" s="6" t="s">
        <v>31</v>
      </c>
      <c r="O75" s="6" t="s">
        <v>31</v>
      </c>
      <c r="P75" s="6" t="s">
        <v>31</v>
      </c>
      <c r="Q75" s="6" t="s">
        <v>432</v>
      </c>
      <c r="R75" s="6" t="s">
        <v>31</v>
      </c>
      <c r="S75" s="6" t="s">
        <v>31</v>
      </c>
      <c r="T75" s="6" t="s">
        <v>31</v>
      </c>
      <c r="U75" s="6" t="s">
        <v>31</v>
      </c>
      <c r="V75" s="6" t="s">
        <v>31</v>
      </c>
      <c r="W75" s="6" t="s">
        <v>31</v>
      </c>
      <c r="X75" s="6" t="s">
        <v>31</v>
      </c>
      <c r="Y75" s="6" t="s">
        <v>31</v>
      </c>
      <c r="Z75" s="6" t="s">
        <v>31</v>
      </c>
    </row>
    <row r="76" spans="1:29">
      <c r="A76" s="8">
        <v>75</v>
      </c>
      <c r="B76" s="8" t="s">
        <v>433</v>
      </c>
      <c r="C76" s="8" t="s">
        <v>430</v>
      </c>
      <c r="D76" s="8" t="s">
        <v>431</v>
      </c>
      <c r="E76" s="12">
        <v>3</v>
      </c>
      <c r="F76" s="12" t="str">
        <f t="shared" si="7"/>
        <v>Indicator</v>
      </c>
      <c r="G76" s="8">
        <v>0</v>
      </c>
      <c r="H76" s="12" t="s">
        <v>434</v>
      </c>
      <c r="I76" s="8" t="s">
        <v>396</v>
      </c>
      <c r="J76" s="8" t="str">
        <f>H75</f>
        <v>ACCOUNTABILITY &amp; TRANSPARENCY</v>
      </c>
      <c r="K76" s="8" t="str">
        <f>H3</f>
        <v>SECURITY &amp; RULE OF LAW</v>
      </c>
      <c r="L76" s="8" t="s">
        <v>33</v>
      </c>
      <c r="M76" s="8" t="s">
        <v>31</v>
      </c>
      <c r="N76" s="8" t="s">
        <v>31</v>
      </c>
      <c r="O76" s="8" t="s">
        <v>31</v>
      </c>
      <c r="P76" s="8" t="s">
        <v>31</v>
      </c>
      <c r="Q76" s="9" t="s">
        <v>435</v>
      </c>
      <c r="R76" s="8" t="s">
        <v>31</v>
      </c>
      <c r="S76" s="10" t="s">
        <v>31</v>
      </c>
      <c r="T76" s="8" t="s">
        <v>31</v>
      </c>
      <c r="U76" s="14" t="s">
        <v>31</v>
      </c>
      <c r="V76" s="8" t="s">
        <v>31</v>
      </c>
      <c r="W76" s="8" t="s">
        <v>31</v>
      </c>
      <c r="X76" s="8" t="s">
        <v>31</v>
      </c>
      <c r="Y76" s="8" t="s">
        <v>31</v>
      </c>
      <c r="Z76" s="8" t="s">
        <v>31</v>
      </c>
    </row>
    <row r="77" spans="1:29">
      <c r="A77" s="8">
        <v>76</v>
      </c>
      <c r="B77" s="8" t="s">
        <v>436</v>
      </c>
      <c r="C77" s="8" t="s">
        <v>433</v>
      </c>
      <c r="D77" s="8" t="s">
        <v>434</v>
      </c>
      <c r="E77" s="8">
        <v>4</v>
      </c>
      <c r="F77" s="8" t="str">
        <f t="shared" si="7"/>
        <v>Sub-indicator</v>
      </c>
      <c r="G77" s="8">
        <v>1</v>
      </c>
      <c r="H77" s="8" t="s">
        <v>437</v>
      </c>
      <c r="I77" s="8" t="s">
        <v>400</v>
      </c>
      <c r="J77" s="8" t="str">
        <f>H75</f>
        <v>ACCOUNTABILITY &amp; TRANSPARENCY</v>
      </c>
      <c r="K77" s="8" t="str">
        <f>$H$3</f>
        <v>SECURITY &amp; RULE OF LAW</v>
      </c>
      <c r="L77" s="8" t="s">
        <v>401</v>
      </c>
      <c r="M77" s="8" t="s">
        <v>402</v>
      </c>
      <c r="N77" s="8" t="s">
        <v>31</v>
      </c>
      <c r="O77" s="8" t="s">
        <v>31</v>
      </c>
      <c r="P77" s="8" t="s">
        <v>31</v>
      </c>
      <c r="Q77" s="9" t="s">
        <v>438</v>
      </c>
      <c r="R77" s="8" t="s">
        <v>404</v>
      </c>
      <c r="S77" s="10">
        <v>45427</v>
      </c>
      <c r="T77" s="8" t="s">
        <v>439</v>
      </c>
      <c r="U77" s="14" t="s">
        <v>144</v>
      </c>
      <c r="V77" s="8" t="s">
        <v>155</v>
      </c>
      <c r="W77" s="8" t="s">
        <v>406</v>
      </c>
      <c r="X77" s="8" t="s">
        <v>407</v>
      </c>
      <c r="Y77" s="8" t="s">
        <v>58</v>
      </c>
      <c r="Z77" s="8" t="s">
        <v>31</v>
      </c>
      <c r="AA77" s="8" t="s">
        <v>408</v>
      </c>
      <c r="AB77" s="8" t="s">
        <v>409</v>
      </c>
    </row>
    <row r="78" spans="1:29">
      <c r="A78" s="8">
        <v>77</v>
      </c>
      <c r="B78" s="8" t="s">
        <v>440</v>
      </c>
      <c r="C78" s="8" t="s">
        <v>433</v>
      </c>
      <c r="D78" s="8" t="s">
        <v>434</v>
      </c>
      <c r="E78" s="8">
        <v>4</v>
      </c>
      <c r="F78" s="8" t="str">
        <f t="shared" si="7"/>
        <v>Sub-indicator</v>
      </c>
      <c r="G78" s="8">
        <v>1</v>
      </c>
      <c r="H78" s="8" t="s">
        <v>441</v>
      </c>
      <c r="I78" s="8" t="s">
        <v>149</v>
      </c>
      <c r="J78" s="8" t="str">
        <f>$H$75</f>
        <v>ACCOUNTABILITY &amp; TRANSPARENCY</v>
      </c>
      <c r="K78" s="8" t="str">
        <f>$H$3</f>
        <v>SECURITY &amp; RULE OF LAW</v>
      </c>
      <c r="L78" s="8" t="s">
        <v>150</v>
      </c>
      <c r="M78" s="8" t="s">
        <v>151</v>
      </c>
      <c r="N78" s="8" t="s">
        <v>31</v>
      </c>
      <c r="O78" s="8" t="s">
        <v>31</v>
      </c>
      <c r="P78" s="8" t="s">
        <v>31</v>
      </c>
      <c r="Q78" s="9" t="s">
        <v>442</v>
      </c>
      <c r="R78" s="8" t="s">
        <v>53</v>
      </c>
      <c r="S78" s="10">
        <v>45432</v>
      </c>
      <c r="T78" s="8" t="s">
        <v>443</v>
      </c>
      <c r="U78" s="14" t="s">
        <v>154</v>
      </c>
      <c r="V78" s="8" t="s">
        <v>155</v>
      </c>
      <c r="W78" s="8" t="s">
        <v>156</v>
      </c>
      <c r="X78" s="8" t="s">
        <v>58</v>
      </c>
      <c r="Y78" s="8" t="s">
        <v>58</v>
      </c>
      <c r="Z78" s="8" t="s">
        <v>31</v>
      </c>
      <c r="AB78" s="8" t="s">
        <v>157</v>
      </c>
    </row>
    <row r="79" spans="1:29">
      <c r="A79" s="8">
        <v>78</v>
      </c>
      <c r="B79" s="8" t="s">
        <v>444</v>
      </c>
      <c r="C79" s="8" t="s">
        <v>433</v>
      </c>
      <c r="D79" s="8" t="s">
        <v>434</v>
      </c>
      <c r="E79" s="8">
        <v>4</v>
      </c>
      <c r="F79" s="8" t="str">
        <f t="shared" si="7"/>
        <v>Sub-indicator</v>
      </c>
      <c r="G79" s="8">
        <v>1</v>
      </c>
      <c r="H79" s="8" t="s">
        <v>445</v>
      </c>
      <c r="I79" s="8" t="s">
        <v>235</v>
      </c>
      <c r="J79" s="8" t="str">
        <f>$H$75</f>
        <v>ACCOUNTABILITY &amp; TRANSPARENCY</v>
      </c>
      <c r="K79" s="8" t="str">
        <f>$H$3</f>
        <v>SECURITY &amp; RULE OF LAW</v>
      </c>
      <c r="L79" s="8" t="s">
        <v>236</v>
      </c>
      <c r="M79" s="8" t="s">
        <v>237</v>
      </c>
      <c r="N79" s="8" t="s">
        <v>31</v>
      </c>
      <c r="O79" s="8" t="s">
        <v>31</v>
      </c>
      <c r="P79" s="8" t="s">
        <v>31</v>
      </c>
      <c r="Q79" s="9" t="s">
        <v>446</v>
      </c>
      <c r="R79" s="8" t="s">
        <v>239</v>
      </c>
      <c r="S79" s="10">
        <v>45440</v>
      </c>
      <c r="T79" s="8" t="s">
        <v>447</v>
      </c>
      <c r="U79" s="14" t="s">
        <v>154</v>
      </c>
      <c r="V79" s="8" t="s">
        <v>155</v>
      </c>
      <c r="W79" s="8" t="s">
        <v>241</v>
      </c>
      <c r="X79" s="8" t="s">
        <v>242</v>
      </c>
      <c r="Y79" s="8" t="s">
        <v>58</v>
      </c>
      <c r="Z79" s="8" t="s">
        <v>31</v>
      </c>
      <c r="AA79" s="8" t="s">
        <v>448</v>
      </c>
      <c r="AB79" s="8" t="s">
        <v>244</v>
      </c>
    </row>
    <row r="80" spans="1:29">
      <c r="A80" s="8">
        <v>79</v>
      </c>
      <c r="B80" s="8" t="s">
        <v>449</v>
      </c>
      <c r="C80" s="8" t="s">
        <v>433</v>
      </c>
      <c r="D80" s="8" t="s">
        <v>434</v>
      </c>
      <c r="E80" s="8">
        <v>4</v>
      </c>
      <c r="F80" s="8" t="str">
        <f t="shared" si="7"/>
        <v>Sub-indicator</v>
      </c>
      <c r="G80" s="8">
        <v>1</v>
      </c>
      <c r="H80" s="8" t="s">
        <v>450</v>
      </c>
      <c r="I80" s="8" t="s">
        <v>400</v>
      </c>
      <c r="J80" s="8" t="str">
        <f>H75</f>
        <v>ACCOUNTABILITY &amp; TRANSPARENCY</v>
      </c>
      <c r="K80" s="8" t="str">
        <f>$H$3</f>
        <v>SECURITY &amp; RULE OF LAW</v>
      </c>
      <c r="L80" s="8" t="s">
        <v>401</v>
      </c>
      <c r="M80" s="8" t="s">
        <v>402</v>
      </c>
      <c r="N80" s="8" t="s">
        <v>31</v>
      </c>
      <c r="O80" s="8" t="s">
        <v>31</v>
      </c>
      <c r="P80" s="8" t="s">
        <v>31</v>
      </c>
      <c r="Q80" s="9" t="s">
        <v>451</v>
      </c>
      <c r="R80" s="8" t="s">
        <v>404</v>
      </c>
      <c r="S80" s="10">
        <v>45427</v>
      </c>
      <c r="T80" s="8" t="s">
        <v>452</v>
      </c>
      <c r="U80" s="14" t="s">
        <v>144</v>
      </c>
      <c r="V80" s="8" t="s">
        <v>155</v>
      </c>
      <c r="W80" s="8" t="s">
        <v>406</v>
      </c>
      <c r="X80" s="8" t="s">
        <v>407</v>
      </c>
      <c r="Y80" s="8" t="s">
        <v>58</v>
      </c>
      <c r="Z80" s="8" t="s">
        <v>31</v>
      </c>
      <c r="AA80" s="8" t="s">
        <v>408</v>
      </c>
      <c r="AB80" s="8" t="s">
        <v>409</v>
      </c>
    </row>
    <row r="81" spans="1:30">
      <c r="A81" s="8">
        <v>80</v>
      </c>
      <c r="B81" s="8" t="s">
        <v>453</v>
      </c>
      <c r="C81" s="8" t="s">
        <v>430</v>
      </c>
      <c r="D81" s="8" t="s">
        <v>431</v>
      </c>
      <c r="E81" s="12">
        <v>3</v>
      </c>
      <c r="F81" s="12" t="str">
        <f t="shared" si="7"/>
        <v>Indicator</v>
      </c>
      <c r="G81" s="8">
        <v>0</v>
      </c>
      <c r="H81" s="12" t="s">
        <v>454</v>
      </c>
      <c r="I81" s="8" t="s">
        <v>455</v>
      </c>
      <c r="J81" s="8" t="str">
        <f>H75</f>
        <v>ACCOUNTABILITY &amp; TRANSPARENCY</v>
      </c>
      <c r="K81" s="8" t="str">
        <f>H3</f>
        <v>SECURITY &amp; RULE OF LAW</v>
      </c>
      <c r="L81" s="8" t="s">
        <v>33</v>
      </c>
      <c r="M81" s="8" t="s">
        <v>31</v>
      </c>
      <c r="N81" s="8" t="s">
        <v>31</v>
      </c>
      <c r="O81" s="8" t="s">
        <v>31</v>
      </c>
      <c r="P81" s="8" t="s">
        <v>31</v>
      </c>
      <c r="Q81" s="9" t="s">
        <v>456</v>
      </c>
      <c r="R81" s="8" t="s">
        <v>31</v>
      </c>
      <c r="S81" s="10" t="s">
        <v>31</v>
      </c>
      <c r="T81" s="8" t="s">
        <v>31</v>
      </c>
      <c r="U81" s="8" t="s">
        <v>31</v>
      </c>
      <c r="V81" s="19" t="s">
        <v>31</v>
      </c>
      <c r="W81" s="8" t="s">
        <v>31</v>
      </c>
      <c r="X81" s="8" t="s">
        <v>31</v>
      </c>
      <c r="Y81" s="8" t="s">
        <v>31</v>
      </c>
      <c r="Z81" s="8" t="s">
        <v>31</v>
      </c>
    </row>
    <row r="82" spans="1:30">
      <c r="A82" s="8">
        <v>81</v>
      </c>
      <c r="B82" s="8" t="s">
        <v>457</v>
      </c>
      <c r="C82" s="8" t="s">
        <v>453</v>
      </c>
      <c r="D82" s="8" t="s">
        <v>454</v>
      </c>
      <c r="E82" s="8">
        <v>4</v>
      </c>
      <c r="F82" s="8" t="str">
        <f t="shared" si="7"/>
        <v>Sub-indicator</v>
      </c>
      <c r="G82" s="8">
        <v>1</v>
      </c>
      <c r="H82" s="8" t="s">
        <v>458</v>
      </c>
      <c r="I82" s="8" t="s">
        <v>400</v>
      </c>
      <c r="J82" s="8" t="str">
        <f>H75</f>
        <v>ACCOUNTABILITY &amp; TRANSPARENCY</v>
      </c>
      <c r="K82" s="8" t="str">
        <f>H3</f>
        <v>SECURITY &amp; RULE OF LAW</v>
      </c>
      <c r="L82" s="8" t="s">
        <v>401</v>
      </c>
      <c r="M82" s="8" t="s">
        <v>402</v>
      </c>
      <c r="N82" s="8" t="s">
        <v>31</v>
      </c>
      <c r="O82" s="8" t="s">
        <v>31</v>
      </c>
      <c r="P82" s="8" t="s">
        <v>31</v>
      </c>
      <c r="Q82" s="9" t="s">
        <v>459</v>
      </c>
      <c r="R82" s="8" t="s">
        <v>404</v>
      </c>
      <c r="S82" s="10">
        <v>45427</v>
      </c>
      <c r="T82" s="8" t="s">
        <v>460</v>
      </c>
      <c r="U82" s="8" t="s">
        <v>144</v>
      </c>
      <c r="V82" s="19" t="s">
        <v>155</v>
      </c>
      <c r="W82" s="8" t="s">
        <v>406</v>
      </c>
      <c r="X82" s="8" t="s">
        <v>407</v>
      </c>
      <c r="Y82" s="8" t="s">
        <v>58</v>
      </c>
      <c r="Z82" s="8" t="s">
        <v>31</v>
      </c>
      <c r="AA82" s="8" t="s">
        <v>408</v>
      </c>
      <c r="AB82" s="8" t="s">
        <v>409</v>
      </c>
    </row>
    <row r="83" spans="1:30">
      <c r="A83" s="8">
        <v>82</v>
      </c>
      <c r="B83" s="8" t="s">
        <v>461</v>
      </c>
      <c r="C83" s="8" t="s">
        <v>453</v>
      </c>
      <c r="D83" s="8" t="s">
        <v>454</v>
      </c>
      <c r="E83" s="8">
        <v>4</v>
      </c>
      <c r="F83" s="8" t="str">
        <f t="shared" si="7"/>
        <v>Sub-indicator</v>
      </c>
      <c r="G83" s="8">
        <v>1</v>
      </c>
      <c r="H83" s="8" t="s">
        <v>462</v>
      </c>
      <c r="I83" s="8" t="s">
        <v>339</v>
      </c>
      <c r="J83" s="8" t="str">
        <f>H75</f>
        <v>ACCOUNTABILITY &amp; TRANSPARENCY</v>
      </c>
      <c r="K83" s="8" t="str">
        <f t="shared" ref="K83:K88" si="8">$H$3</f>
        <v>SECURITY &amp; RULE OF LAW</v>
      </c>
      <c r="L83" s="8" t="s">
        <v>340</v>
      </c>
      <c r="M83" s="8" t="s">
        <v>341</v>
      </c>
      <c r="N83" s="8" t="s">
        <v>31</v>
      </c>
      <c r="O83" s="8" t="s">
        <v>31</v>
      </c>
      <c r="P83" s="8" t="s">
        <v>31</v>
      </c>
      <c r="Q83" s="9" t="s">
        <v>463</v>
      </c>
      <c r="R83" s="8" t="s">
        <v>53</v>
      </c>
      <c r="S83" s="10">
        <v>45428</v>
      </c>
      <c r="T83" s="8" t="s">
        <v>464</v>
      </c>
      <c r="U83" s="8" t="s">
        <v>229</v>
      </c>
      <c r="V83" s="19" t="s">
        <v>155</v>
      </c>
      <c r="W83" s="8" t="s">
        <v>344</v>
      </c>
      <c r="X83" s="8" t="s">
        <v>58</v>
      </c>
      <c r="Y83" s="8" t="s">
        <v>58</v>
      </c>
      <c r="Z83" s="8" t="s">
        <v>31</v>
      </c>
      <c r="AA83" s="8" t="s">
        <v>273</v>
      </c>
    </row>
    <row r="84" spans="1:30">
      <c r="A84" s="8">
        <v>83</v>
      </c>
      <c r="B84" s="8" t="s">
        <v>465</v>
      </c>
      <c r="C84" s="8" t="s">
        <v>453</v>
      </c>
      <c r="D84" s="8" t="s">
        <v>454</v>
      </c>
      <c r="E84" s="8">
        <v>4</v>
      </c>
      <c r="F84" s="8" t="str">
        <f t="shared" si="7"/>
        <v>Sub-indicator</v>
      </c>
      <c r="G84" s="8">
        <v>1</v>
      </c>
      <c r="H84" s="8" t="s">
        <v>466</v>
      </c>
      <c r="I84" s="8" t="s">
        <v>267</v>
      </c>
      <c r="J84" s="8" t="s">
        <v>431</v>
      </c>
      <c r="K84" s="8" t="s">
        <v>37</v>
      </c>
      <c r="L84" s="8" t="s">
        <v>268</v>
      </c>
      <c r="M84" s="8" t="s">
        <v>269</v>
      </c>
      <c r="N84" s="8" t="s">
        <v>31</v>
      </c>
      <c r="O84" s="8" t="s">
        <v>31</v>
      </c>
      <c r="P84" s="8" t="s">
        <v>31</v>
      </c>
      <c r="Q84" s="9" t="s">
        <v>467</v>
      </c>
      <c r="R84" s="8" t="s">
        <v>53</v>
      </c>
      <c r="S84" s="10">
        <v>45485</v>
      </c>
      <c r="T84" s="8" t="s">
        <v>468</v>
      </c>
      <c r="U84" s="8" t="s">
        <v>196</v>
      </c>
      <c r="V84" s="19" t="s">
        <v>155</v>
      </c>
      <c r="W84" s="8" t="s">
        <v>272</v>
      </c>
      <c r="X84" s="8" t="s">
        <v>58</v>
      </c>
      <c r="Y84" s="8" t="s">
        <v>58</v>
      </c>
      <c r="Z84" s="8" t="s">
        <v>31</v>
      </c>
      <c r="AA84" s="8" t="s">
        <v>273</v>
      </c>
    </row>
    <row r="85" spans="1:30">
      <c r="A85" s="8">
        <v>84</v>
      </c>
      <c r="B85" s="8" t="s">
        <v>469</v>
      </c>
      <c r="C85" s="8" t="s">
        <v>430</v>
      </c>
      <c r="D85" s="8" t="s">
        <v>431</v>
      </c>
      <c r="E85" s="12">
        <v>3</v>
      </c>
      <c r="F85" s="12" t="str">
        <f t="shared" si="7"/>
        <v>Indicator</v>
      </c>
      <c r="G85" s="8">
        <v>0</v>
      </c>
      <c r="H85" s="12" t="s">
        <v>470</v>
      </c>
      <c r="I85" s="8" t="s">
        <v>396</v>
      </c>
      <c r="J85" s="8" t="str">
        <f>$H$75</f>
        <v>ACCOUNTABILITY &amp; TRANSPARENCY</v>
      </c>
      <c r="K85" s="8" t="str">
        <f t="shared" si="8"/>
        <v>SECURITY &amp; RULE OF LAW</v>
      </c>
      <c r="L85" s="8" t="s">
        <v>33</v>
      </c>
      <c r="M85" s="8" t="s">
        <v>31</v>
      </c>
      <c r="N85" s="8" t="s">
        <v>31</v>
      </c>
      <c r="O85" s="8" t="s">
        <v>31</v>
      </c>
      <c r="P85" s="8" t="s">
        <v>31</v>
      </c>
      <c r="Q85" s="9" t="s">
        <v>471</v>
      </c>
      <c r="R85" s="8" t="s">
        <v>31</v>
      </c>
      <c r="S85" s="10" t="s">
        <v>31</v>
      </c>
      <c r="T85" s="8" t="s">
        <v>31</v>
      </c>
      <c r="U85" s="8" t="s">
        <v>31</v>
      </c>
      <c r="V85" s="19" t="s">
        <v>31</v>
      </c>
      <c r="W85" s="8" t="s">
        <v>31</v>
      </c>
      <c r="X85" s="8" t="s">
        <v>31</v>
      </c>
      <c r="Y85" s="8" t="s">
        <v>31</v>
      </c>
      <c r="Z85" s="8" t="s">
        <v>31</v>
      </c>
    </row>
    <row r="86" spans="1:30">
      <c r="A86" s="8">
        <v>85</v>
      </c>
      <c r="B86" s="8" t="s">
        <v>472</v>
      </c>
      <c r="C86" s="8" t="s">
        <v>469</v>
      </c>
      <c r="D86" s="8" t="s">
        <v>470</v>
      </c>
      <c r="E86" s="8">
        <v>4</v>
      </c>
      <c r="F86" s="8" t="str">
        <f t="shared" si="7"/>
        <v>Sub-indicator</v>
      </c>
      <c r="G86" s="8">
        <v>0</v>
      </c>
      <c r="H86" s="8" t="s">
        <v>473</v>
      </c>
      <c r="I86" s="8" t="s">
        <v>235</v>
      </c>
      <c r="J86" s="8" t="str">
        <f>$H$75</f>
        <v>ACCOUNTABILITY &amp; TRANSPARENCY</v>
      </c>
      <c r="K86" s="8" t="str">
        <f t="shared" si="8"/>
        <v>SECURITY &amp; RULE OF LAW</v>
      </c>
      <c r="L86" s="8" t="s">
        <v>33</v>
      </c>
      <c r="M86" s="8" t="s">
        <v>31</v>
      </c>
      <c r="N86" s="8" t="s">
        <v>31</v>
      </c>
      <c r="O86" s="8" t="s">
        <v>31</v>
      </c>
      <c r="P86" s="8" t="s">
        <v>31</v>
      </c>
      <c r="Q86" s="9" t="s">
        <v>474</v>
      </c>
      <c r="R86" s="8" t="s">
        <v>31</v>
      </c>
      <c r="S86" s="10" t="s">
        <v>31</v>
      </c>
      <c r="T86" s="8" t="s">
        <v>31</v>
      </c>
      <c r="U86" s="8" t="s">
        <v>31</v>
      </c>
      <c r="V86" s="19" t="s">
        <v>31</v>
      </c>
      <c r="W86" s="8" t="s">
        <v>31</v>
      </c>
      <c r="X86" s="8" t="s">
        <v>31</v>
      </c>
      <c r="Y86" s="8" t="s">
        <v>31</v>
      </c>
      <c r="Z86" s="8" t="s">
        <v>31</v>
      </c>
    </row>
    <row r="87" spans="1:30">
      <c r="A87" s="8">
        <v>86</v>
      </c>
      <c r="B87" s="8" t="s">
        <v>475</v>
      </c>
      <c r="C87" s="8" t="s">
        <v>472</v>
      </c>
      <c r="D87" s="8" t="s">
        <v>473</v>
      </c>
      <c r="E87" s="8">
        <v>5</v>
      </c>
      <c r="F87" s="8" t="str">
        <f t="shared" si="7"/>
        <v>Sub-sub-indicator</v>
      </c>
      <c r="G87" s="8">
        <v>1</v>
      </c>
      <c r="H87" s="8" t="s">
        <v>476</v>
      </c>
      <c r="I87" s="8" t="s">
        <v>235</v>
      </c>
      <c r="J87" s="8" t="str">
        <f>$H$75</f>
        <v>ACCOUNTABILITY &amp; TRANSPARENCY</v>
      </c>
      <c r="K87" s="8" t="str">
        <f t="shared" si="8"/>
        <v>SECURITY &amp; RULE OF LAW</v>
      </c>
      <c r="L87" s="8" t="s">
        <v>236</v>
      </c>
      <c r="M87" s="8" t="s">
        <v>237</v>
      </c>
      <c r="N87" s="8" t="s">
        <v>31</v>
      </c>
      <c r="O87" s="8" t="s">
        <v>31</v>
      </c>
      <c r="P87" s="8" t="s">
        <v>31</v>
      </c>
      <c r="Q87" s="9" t="s">
        <v>477</v>
      </c>
      <c r="R87" s="8" t="s">
        <v>239</v>
      </c>
      <c r="S87" s="10">
        <v>45440</v>
      </c>
      <c r="T87" s="8" t="s">
        <v>478</v>
      </c>
      <c r="U87" s="8" t="s">
        <v>154</v>
      </c>
      <c r="V87" s="19" t="s">
        <v>155</v>
      </c>
      <c r="W87" s="8" t="s">
        <v>241</v>
      </c>
      <c r="X87" s="8" t="s">
        <v>242</v>
      </c>
      <c r="Y87" s="8" t="s">
        <v>58</v>
      </c>
      <c r="Z87" s="8" t="s">
        <v>31</v>
      </c>
      <c r="AA87" s="8" t="s">
        <v>243</v>
      </c>
      <c r="AB87" s="8" t="s">
        <v>244</v>
      </c>
    </row>
    <row r="88" spans="1:30">
      <c r="A88" s="8">
        <v>87</v>
      </c>
      <c r="B88" s="8" t="s">
        <v>479</v>
      </c>
      <c r="C88" s="8" t="s">
        <v>472</v>
      </c>
      <c r="D88" s="8" t="s">
        <v>473</v>
      </c>
      <c r="E88" s="8">
        <v>5</v>
      </c>
      <c r="F88" s="8" t="str">
        <f t="shared" si="7"/>
        <v>Sub-sub-indicator</v>
      </c>
      <c r="G88" s="8">
        <v>1</v>
      </c>
      <c r="H88" s="8" t="s">
        <v>480</v>
      </c>
      <c r="I88" s="8" t="s">
        <v>235</v>
      </c>
      <c r="J88" s="8" t="str">
        <f>$H$75</f>
        <v>ACCOUNTABILITY &amp; TRANSPARENCY</v>
      </c>
      <c r="K88" s="8" t="str">
        <f t="shared" si="8"/>
        <v>SECURITY &amp; RULE OF LAW</v>
      </c>
      <c r="L88" s="8" t="s">
        <v>236</v>
      </c>
      <c r="M88" s="8" t="s">
        <v>237</v>
      </c>
      <c r="N88" s="8" t="s">
        <v>31</v>
      </c>
      <c r="O88" s="8" t="s">
        <v>31</v>
      </c>
      <c r="P88" s="8" t="s">
        <v>31</v>
      </c>
      <c r="Q88" s="9" t="s">
        <v>481</v>
      </c>
      <c r="R88" s="8" t="s">
        <v>316</v>
      </c>
      <c r="S88" s="10">
        <v>45461</v>
      </c>
      <c r="T88" s="8" t="s">
        <v>482</v>
      </c>
      <c r="U88" s="8" t="s">
        <v>154</v>
      </c>
      <c r="V88" s="19" t="s">
        <v>155</v>
      </c>
      <c r="W88" s="8" t="s">
        <v>241</v>
      </c>
      <c r="X88" s="8" t="s">
        <v>242</v>
      </c>
      <c r="Y88" s="8" t="s">
        <v>58</v>
      </c>
      <c r="Z88" s="8" t="s">
        <v>31</v>
      </c>
      <c r="AA88" s="8" t="s">
        <v>318</v>
      </c>
      <c r="AB88" s="8" t="s">
        <v>244</v>
      </c>
      <c r="AC88" s="8" t="s">
        <v>483</v>
      </c>
    </row>
    <row r="89" spans="1:30">
      <c r="A89" s="8">
        <v>88</v>
      </c>
      <c r="B89" s="8" t="s">
        <v>484</v>
      </c>
      <c r="C89" s="8" t="s">
        <v>469</v>
      </c>
      <c r="D89" s="8" t="s">
        <v>470</v>
      </c>
      <c r="E89" s="8">
        <v>4</v>
      </c>
      <c r="F89" s="8" t="str">
        <f t="shared" si="7"/>
        <v>Sub-indicator</v>
      </c>
      <c r="G89" s="8">
        <v>0</v>
      </c>
      <c r="H89" s="8" t="s">
        <v>485</v>
      </c>
      <c r="I89" s="8" t="s">
        <v>486</v>
      </c>
      <c r="J89" s="8" t="str">
        <f>H75</f>
        <v>ACCOUNTABILITY &amp; TRANSPARENCY</v>
      </c>
      <c r="K89" s="8" t="str">
        <f>H3</f>
        <v>SECURITY &amp; RULE OF LAW</v>
      </c>
      <c r="L89" s="8" t="s">
        <v>33</v>
      </c>
      <c r="M89" s="8" t="s">
        <v>31</v>
      </c>
      <c r="N89" s="8" t="s">
        <v>31</v>
      </c>
      <c r="O89" s="8" t="s">
        <v>31</v>
      </c>
      <c r="P89" s="8" t="s">
        <v>31</v>
      </c>
      <c r="Q89" s="9" t="s">
        <v>487</v>
      </c>
      <c r="R89" s="8" t="s">
        <v>31</v>
      </c>
      <c r="S89" s="10" t="s">
        <v>31</v>
      </c>
      <c r="T89" s="8" t="s">
        <v>31</v>
      </c>
      <c r="U89" s="8" t="s">
        <v>31</v>
      </c>
      <c r="V89" s="19" t="s">
        <v>31</v>
      </c>
      <c r="W89" s="8" t="s">
        <v>31</v>
      </c>
      <c r="X89" s="8" t="s">
        <v>31</v>
      </c>
      <c r="Y89" s="8" t="s">
        <v>31</v>
      </c>
      <c r="Z89" s="8" t="s">
        <v>31</v>
      </c>
    </row>
    <row r="90" spans="1:30">
      <c r="A90" s="8">
        <v>89</v>
      </c>
      <c r="B90" s="8" t="s">
        <v>488</v>
      </c>
      <c r="C90" s="8" t="s">
        <v>484</v>
      </c>
      <c r="D90" s="8" t="s">
        <v>485</v>
      </c>
      <c r="E90" s="8">
        <v>5</v>
      </c>
      <c r="F90" s="8" t="str">
        <f t="shared" si="7"/>
        <v>Sub-sub-indicator</v>
      </c>
      <c r="G90" s="8">
        <v>1</v>
      </c>
      <c r="H90" s="8" t="s">
        <v>489</v>
      </c>
      <c r="I90" s="8" t="s">
        <v>400</v>
      </c>
      <c r="J90" s="8" t="str">
        <f>H75</f>
        <v>ACCOUNTABILITY &amp; TRANSPARENCY</v>
      </c>
      <c r="K90" s="8" t="str">
        <f>H3</f>
        <v>SECURITY &amp; RULE OF LAW</v>
      </c>
      <c r="L90" s="8" t="s">
        <v>401</v>
      </c>
      <c r="M90" s="8" t="s">
        <v>402</v>
      </c>
      <c r="N90" s="8" t="s">
        <v>31</v>
      </c>
      <c r="O90" s="8" t="s">
        <v>31</v>
      </c>
      <c r="P90" s="8" t="s">
        <v>31</v>
      </c>
      <c r="Q90" s="9" t="s">
        <v>490</v>
      </c>
      <c r="R90" s="8" t="s">
        <v>404</v>
      </c>
      <c r="S90" s="13">
        <v>45427</v>
      </c>
      <c r="T90" s="8" t="s">
        <v>491</v>
      </c>
      <c r="U90" s="8" t="s">
        <v>144</v>
      </c>
      <c r="V90" s="8" t="s">
        <v>155</v>
      </c>
      <c r="W90" s="8" t="s">
        <v>406</v>
      </c>
      <c r="X90" s="8" t="s">
        <v>407</v>
      </c>
      <c r="Y90" s="8" t="s">
        <v>58</v>
      </c>
      <c r="Z90" s="8" t="s">
        <v>31</v>
      </c>
      <c r="AA90" s="8" t="s">
        <v>408</v>
      </c>
      <c r="AB90" s="8" t="s">
        <v>409</v>
      </c>
    </row>
    <row r="91" spans="1:30">
      <c r="A91" s="8">
        <v>90</v>
      </c>
      <c r="B91" s="8" t="s">
        <v>492</v>
      </c>
      <c r="C91" s="8" t="s">
        <v>484</v>
      </c>
      <c r="D91" s="8" t="s">
        <v>485</v>
      </c>
      <c r="E91" s="8">
        <v>5</v>
      </c>
      <c r="F91" s="8" t="str">
        <f t="shared" si="7"/>
        <v>Sub-sub-indicator</v>
      </c>
      <c r="G91" s="8">
        <v>1</v>
      </c>
      <c r="H91" s="8" t="s">
        <v>493</v>
      </c>
      <c r="I91" s="8" t="s">
        <v>149</v>
      </c>
      <c r="J91" s="8" t="str">
        <f>H75</f>
        <v>ACCOUNTABILITY &amp; TRANSPARENCY</v>
      </c>
      <c r="K91" s="8" t="str">
        <f>H3</f>
        <v>SECURITY &amp; RULE OF LAW</v>
      </c>
      <c r="L91" s="8" t="s">
        <v>150</v>
      </c>
      <c r="M91" s="8" t="s">
        <v>151</v>
      </c>
      <c r="N91" s="8" t="s">
        <v>31</v>
      </c>
      <c r="O91" s="8" t="s">
        <v>31</v>
      </c>
      <c r="P91" s="8" t="s">
        <v>31</v>
      </c>
      <c r="Q91" s="9" t="s">
        <v>494</v>
      </c>
      <c r="R91" s="8" t="s">
        <v>53</v>
      </c>
      <c r="S91" s="10">
        <v>45432</v>
      </c>
      <c r="T91" s="8" t="s">
        <v>495</v>
      </c>
      <c r="U91" s="8" t="s">
        <v>496</v>
      </c>
      <c r="V91" s="8" t="s">
        <v>155</v>
      </c>
      <c r="W91" s="8" t="s">
        <v>156</v>
      </c>
      <c r="X91" s="8" t="s">
        <v>58</v>
      </c>
      <c r="Y91" s="8" t="s">
        <v>58</v>
      </c>
      <c r="Z91" s="8" t="s">
        <v>31</v>
      </c>
      <c r="AB91" s="18" t="s">
        <v>157</v>
      </c>
      <c r="AC91" s="20"/>
      <c r="AD91" s="20"/>
    </row>
    <row r="92" spans="1:30">
      <c r="A92" s="8">
        <v>91</v>
      </c>
      <c r="B92" s="8" t="s">
        <v>497</v>
      </c>
      <c r="C92" s="8" t="s">
        <v>430</v>
      </c>
      <c r="D92" s="8" t="s">
        <v>431</v>
      </c>
      <c r="E92" s="12">
        <v>3</v>
      </c>
      <c r="F92" s="12" t="str">
        <f t="shared" si="7"/>
        <v>Indicator</v>
      </c>
      <c r="G92" s="8">
        <v>0</v>
      </c>
      <c r="H92" s="12" t="s">
        <v>498</v>
      </c>
      <c r="I92" s="8" t="s">
        <v>499</v>
      </c>
      <c r="J92" s="8" t="str">
        <f>H75</f>
        <v>ACCOUNTABILITY &amp; TRANSPARENCY</v>
      </c>
      <c r="K92" s="8" t="str">
        <f>H3</f>
        <v>SECURITY &amp; RULE OF LAW</v>
      </c>
      <c r="L92" s="8" t="s">
        <v>33</v>
      </c>
      <c r="M92" s="8" t="s">
        <v>31</v>
      </c>
      <c r="N92" s="8" t="s">
        <v>31</v>
      </c>
      <c r="O92" s="8" t="s">
        <v>31</v>
      </c>
      <c r="P92" s="8" t="s">
        <v>31</v>
      </c>
      <c r="Q92" s="9" t="s">
        <v>500</v>
      </c>
      <c r="R92" s="8" t="s">
        <v>31</v>
      </c>
      <c r="S92" s="10" t="s">
        <v>31</v>
      </c>
      <c r="T92" s="8" t="s">
        <v>31</v>
      </c>
      <c r="U92" s="8" t="s">
        <v>31</v>
      </c>
      <c r="V92" s="8" t="s">
        <v>31</v>
      </c>
      <c r="W92" s="8" t="s">
        <v>31</v>
      </c>
      <c r="X92" s="8" t="s">
        <v>31</v>
      </c>
      <c r="Y92" s="8" t="s">
        <v>31</v>
      </c>
      <c r="Z92" s="8" t="s">
        <v>31</v>
      </c>
    </row>
    <row r="93" spans="1:30">
      <c r="A93" s="8">
        <v>92</v>
      </c>
      <c r="B93" s="8" t="s">
        <v>501</v>
      </c>
      <c r="C93" s="8" t="s">
        <v>497</v>
      </c>
      <c r="D93" s="8" t="s">
        <v>498</v>
      </c>
      <c r="E93" s="8">
        <v>4</v>
      </c>
      <c r="F93" s="8" t="str">
        <f t="shared" si="7"/>
        <v>Sub-indicator</v>
      </c>
      <c r="G93" s="8">
        <v>1</v>
      </c>
      <c r="H93" s="8" t="s">
        <v>502</v>
      </c>
      <c r="I93" s="8" t="s">
        <v>503</v>
      </c>
      <c r="J93" s="8" t="str">
        <f t="shared" ref="J93:J109" si="9">$H$75</f>
        <v>ACCOUNTABILITY &amp; TRANSPARENCY</v>
      </c>
      <c r="K93" s="8" t="str">
        <f t="shared" ref="K93:K109" si="10">$H$3</f>
        <v>SECURITY &amp; RULE OF LAW</v>
      </c>
      <c r="L93" s="8" t="s">
        <v>504</v>
      </c>
      <c r="M93" s="8" t="s">
        <v>505</v>
      </c>
      <c r="N93" s="8" t="s">
        <v>31</v>
      </c>
      <c r="O93" s="8" t="s">
        <v>31</v>
      </c>
      <c r="P93" s="8" t="s">
        <v>31</v>
      </c>
      <c r="Q93" s="9" t="s">
        <v>506</v>
      </c>
      <c r="R93" s="8" t="s">
        <v>507</v>
      </c>
      <c r="S93" s="10">
        <v>45448</v>
      </c>
      <c r="T93" s="8" t="s">
        <v>505</v>
      </c>
      <c r="U93" s="8" t="s">
        <v>196</v>
      </c>
      <c r="V93" s="8" t="s">
        <v>155</v>
      </c>
      <c r="W93" s="8" t="s">
        <v>508</v>
      </c>
      <c r="X93" s="8" t="s">
        <v>509</v>
      </c>
      <c r="Y93" s="8" t="s">
        <v>510</v>
      </c>
      <c r="Z93" s="8" t="s">
        <v>31</v>
      </c>
      <c r="AA93" s="8" t="s">
        <v>511</v>
      </c>
    </row>
    <row r="94" spans="1:30">
      <c r="A94" s="8">
        <v>93</v>
      </c>
      <c r="B94" s="8" t="s">
        <v>512</v>
      </c>
      <c r="C94" s="8" t="s">
        <v>497</v>
      </c>
      <c r="D94" s="8" t="s">
        <v>498</v>
      </c>
      <c r="E94" s="8">
        <v>4</v>
      </c>
      <c r="F94" s="8" t="str">
        <f t="shared" si="7"/>
        <v>Sub-indicator</v>
      </c>
      <c r="G94" s="8">
        <v>0</v>
      </c>
      <c r="H94" s="8" t="s">
        <v>513</v>
      </c>
      <c r="I94" s="8" t="s">
        <v>267</v>
      </c>
      <c r="J94" s="8" t="str">
        <f t="shared" si="9"/>
        <v>ACCOUNTABILITY &amp; TRANSPARENCY</v>
      </c>
      <c r="K94" s="8" t="str">
        <f t="shared" si="10"/>
        <v>SECURITY &amp; RULE OF LAW</v>
      </c>
      <c r="L94" s="8" t="s">
        <v>33</v>
      </c>
      <c r="M94" s="8" t="s">
        <v>31</v>
      </c>
      <c r="N94" s="8" t="s">
        <v>31</v>
      </c>
      <c r="O94" s="8" t="s">
        <v>31</v>
      </c>
      <c r="P94" s="8" t="s">
        <v>31</v>
      </c>
      <c r="Q94" s="9" t="s">
        <v>514</v>
      </c>
      <c r="R94" s="8" t="s">
        <v>31</v>
      </c>
      <c r="S94" s="10" t="s">
        <v>31</v>
      </c>
      <c r="T94" s="8" t="s">
        <v>31</v>
      </c>
      <c r="U94" s="8" t="s">
        <v>31</v>
      </c>
      <c r="V94" s="8" t="s">
        <v>31</v>
      </c>
      <c r="W94" s="8" t="s">
        <v>31</v>
      </c>
      <c r="X94" s="8" t="s">
        <v>31</v>
      </c>
      <c r="Y94" s="8" t="s">
        <v>31</v>
      </c>
      <c r="Z94" s="8" t="s">
        <v>31</v>
      </c>
    </row>
    <row r="95" spans="1:30">
      <c r="A95" s="8">
        <v>94</v>
      </c>
      <c r="B95" s="8" t="s">
        <v>515</v>
      </c>
      <c r="C95" s="8" t="s">
        <v>512</v>
      </c>
      <c r="D95" s="8" t="s">
        <v>513</v>
      </c>
      <c r="E95" s="8">
        <v>5</v>
      </c>
      <c r="F95" s="8" t="str">
        <f t="shared" si="7"/>
        <v>Sub-sub-indicator</v>
      </c>
      <c r="G95" s="8">
        <v>1</v>
      </c>
      <c r="H95" s="8" t="s">
        <v>516</v>
      </c>
      <c r="I95" s="8" t="s">
        <v>267</v>
      </c>
      <c r="J95" s="8" t="str">
        <f t="shared" si="9"/>
        <v>ACCOUNTABILITY &amp; TRANSPARENCY</v>
      </c>
      <c r="K95" s="8" t="str">
        <f t="shared" si="10"/>
        <v>SECURITY &amp; RULE OF LAW</v>
      </c>
      <c r="L95" s="8" t="s">
        <v>268</v>
      </c>
      <c r="M95" s="8" t="s">
        <v>269</v>
      </c>
      <c r="N95" s="8" t="s">
        <v>31</v>
      </c>
      <c r="O95" s="8" t="s">
        <v>31</v>
      </c>
      <c r="P95" s="8" t="s">
        <v>31</v>
      </c>
      <c r="Q95" s="9" t="s">
        <v>517</v>
      </c>
      <c r="R95" s="8" t="s">
        <v>53</v>
      </c>
      <c r="S95" s="10">
        <v>45481</v>
      </c>
      <c r="T95" s="8" t="s">
        <v>518</v>
      </c>
      <c r="U95" s="8" t="s">
        <v>196</v>
      </c>
      <c r="V95" s="8" t="s">
        <v>155</v>
      </c>
      <c r="W95" s="8" t="s">
        <v>272</v>
      </c>
      <c r="X95" s="8" t="s">
        <v>58</v>
      </c>
      <c r="Y95" s="8" t="s">
        <v>58</v>
      </c>
      <c r="Z95" s="8" t="s">
        <v>31</v>
      </c>
      <c r="AA95" s="8" t="s">
        <v>273</v>
      </c>
    </row>
    <row r="96" spans="1:30">
      <c r="A96" s="8">
        <v>95</v>
      </c>
      <c r="B96" s="8" t="s">
        <v>519</v>
      </c>
      <c r="C96" s="8" t="s">
        <v>512</v>
      </c>
      <c r="D96" s="8" t="s">
        <v>513</v>
      </c>
      <c r="E96" s="8">
        <v>5</v>
      </c>
      <c r="F96" s="8" t="str">
        <f t="shared" si="7"/>
        <v>Sub-sub-indicator</v>
      </c>
      <c r="G96" s="8">
        <v>1</v>
      </c>
      <c r="H96" s="8" t="s">
        <v>520</v>
      </c>
      <c r="I96" s="8" t="s">
        <v>267</v>
      </c>
      <c r="J96" s="8" t="str">
        <f t="shared" si="9"/>
        <v>ACCOUNTABILITY &amp; TRANSPARENCY</v>
      </c>
      <c r="K96" s="8" t="str">
        <f t="shared" si="10"/>
        <v>SECURITY &amp; RULE OF LAW</v>
      </c>
      <c r="L96" s="8" t="s">
        <v>268</v>
      </c>
      <c r="M96" s="8" t="s">
        <v>269</v>
      </c>
      <c r="N96" s="8" t="s">
        <v>31</v>
      </c>
      <c r="O96" s="8" t="s">
        <v>31</v>
      </c>
      <c r="P96" s="8" t="s">
        <v>31</v>
      </c>
      <c r="Q96" s="9" t="s">
        <v>521</v>
      </c>
      <c r="R96" s="8" t="s">
        <v>53</v>
      </c>
      <c r="S96" s="10">
        <v>45481</v>
      </c>
      <c r="T96" s="8" t="s">
        <v>522</v>
      </c>
      <c r="U96" s="8" t="s">
        <v>196</v>
      </c>
      <c r="V96" s="8" t="s">
        <v>155</v>
      </c>
      <c r="W96" s="8" t="s">
        <v>272</v>
      </c>
      <c r="X96" s="8" t="s">
        <v>58</v>
      </c>
      <c r="Y96" s="8" t="s">
        <v>58</v>
      </c>
      <c r="Z96" s="8" t="s">
        <v>31</v>
      </c>
      <c r="AA96" s="8" t="s">
        <v>273</v>
      </c>
    </row>
    <row r="97" spans="1:29">
      <c r="A97" s="8">
        <v>96</v>
      </c>
      <c r="B97" s="8" t="s">
        <v>523</v>
      </c>
      <c r="C97" s="8" t="s">
        <v>497</v>
      </c>
      <c r="D97" s="8" t="s">
        <v>498</v>
      </c>
      <c r="E97" s="8">
        <v>4</v>
      </c>
      <c r="F97" s="8" t="str">
        <f t="shared" si="7"/>
        <v>Sub-indicator</v>
      </c>
      <c r="G97" s="8">
        <v>0</v>
      </c>
      <c r="H97" s="8" t="s">
        <v>524</v>
      </c>
      <c r="I97" s="8" t="s">
        <v>525</v>
      </c>
      <c r="J97" s="8" t="str">
        <f t="shared" si="9"/>
        <v>ACCOUNTABILITY &amp; TRANSPARENCY</v>
      </c>
      <c r="K97" s="8" t="str">
        <f t="shared" si="10"/>
        <v>SECURITY &amp; RULE OF LAW</v>
      </c>
      <c r="L97" s="8" t="s">
        <v>33</v>
      </c>
      <c r="M97" s="8" t="s">
        <v>31</v>
      </c>
      <c r="N97" s="8" t="s">
        <v>31</v>
      </c>
      <c r="O97" s="8" t="s">
        <v>31</v>
      </c>
      <c r="P97" s="8" t="s">
        <v>31</v>
      </c>
      <c r="Q97" s="9" t="s">
        <v>526</v>
      </c>
      <c r="R97" s="8" t="s">
        <v>31</v>
      </c>
      <c r="S97" s="10" t="s">
        <v>31</v>
      </c>
      <c r="T97" s="8" t="s">
        <v>31</v>
      </c>
      <c r="U97" s="8" t="s">
        <v>31</v>
      </c>
      <c r="V97" s="8" t="s">
        <v>31</v>
      </c>
      <c r="W97" s="8" t="s">
        <v>31</v>
      </c>
      <c r="X97" s="8" t="s">
        <v>31</v>
      </c>
      <c r="Y97" s="8" t="s">
        <v>31</v>
      </c>
      <c r="Z97" s="8" t="s">
        <v>31</v>
      </c>
    </row>
    <row r="98" spans="1:29">
      <c r="A98" s="8">
        <v>97</v>
      </c>
      <c r="B98" s="8" t="s">
        <v>527</v>
      </c>
      <c r="C98" s="8" t="s">
        <v>523</v>
      </c>
      <c r="D98" s="8" t="s">
        <v>524</v>
      </c>
      <c r="E98" s="8">
        <v>5</v>
      </c>
      <c r="F98" s="8" t="str">
        <f t="shared" si="7"/>
        <v>Sub-sub-indicator</v>
      </c>
      <c r="G98" s="8">
        <v>1</v>
      </c>
      <c r="H98" s="8" t="s">
        <v>528</v>
      </c>
      <c r="I98" s="8" t="s">
        <v>235</v>
      </c>
      <c r="J98" s="8" t="str">
        <f t="shared" si="9"/>
        <v>ACCOUNTABILITY &amp; TRANSPARENCY</v>
      </c>
      <c r="K98" s="8" t="str">
        <f t="shared" si="10"/>
        <v>SECURITY &amp; RULE OF LAW</v>
      </c>
      <c r="L98" s="8" t="s">
        <v>236</v>
      </c>
      <c r="M98" s="8" t="s">
        <v>237</v>
      </c>
      <c r="N98" s="8" t="s">
        <v>31</v>
      </c>
      <c r="O98" s="8" t="s">
        <v>31</v>
      </c>
      <c r="P98" s="8" t="s">
        <v>31</v>
      </c>
      <c r="Q98" s="9" t="s">
        <v>529</v>
      </c>
      <c r="R98" s="8" t="s">
        <v>316</v>
      </c>
      <c r="S98" s="10">
        <v>45461</v>
      </c>
      <c r="T98" s="8" t="s">
        <v>530</v>
      </c>
      <c r="U98" s="8" t="s">
        <v>154</v>
      </c>
      <c r="V98" s="8" t="s">
        <v>155</v>
      </c>
      <c r="W98" s="8" t="s">
        <v>241</v>
      </c>
      <c r="X98" s="8" t="s">
        <v>242</v>
      </c>
      <c r="Y98" s="8" t="s">
        <v>58</v>
      </c>
      <c r="Z98" s="8" t="s">
        <v>31</v>
      </c>
      <c r="AA98" s="8" t="s">
        <v>531</v>
      </c>
      <c r="AB98" s="8" t="s">
        <v>244</v>
      </c>
      <c r="AC98" s="8" t="s">
        <v>532</v>
      </c>
    </row>
    <row r="99" spans="1:29">
      <c r="A99" s="8">
        <v>98</v>
      </c>
      <c r="B99" s="8" t="s">
        <v>533</v>
      </c>
      <c r="C99" s="8" t="s">
        <v>523</v>
      </c>
      <c r="D99" s="8" t="s">
        <v>524</v>
      </c>
      <c r="E99" s="8">
        <v>5</v>
      </c>
      <c r="F99" s="8" t="str">
        <f t="shared" si="7"/>
        <v>Sub-sub-indicator</v>
      </c>
      <c r="G99" s="8">
        <v>1</v>
      </c>
      <c r="H99" s="8" t="s">
        <v>534</v>
      </c>
      <c r="I99" s="8" t="s">
        <v>267</v>
      </c>
      <c r="J99" s="8" t="str">
        <f t="shared" si="9"/>
        <v>ACCOUNTABILITY &amp; TRANSPARENCY</v>
      </c>
      <c r="K99" s="8" t="str">
        <f t="shared" si="10"/>
        <v>SECURITY &amp; RULE OF LAW</v>
      </c>
      <c r="L99" s="8" t="s">
        <v>268</v>
      </c>
      <c r="M99" s="8" t="s">
        <v>269</v>
      </c>
      <c r="N99" s="8" t="s">
        <v>31</v>
      </c>
      <c r="O99" s="8" t="s">
        <v>31</v>
      </c>
      <c r="P99" s="8" t="s">
        <v>31</v>
      </c>
      <c r="Q99" s="9" t="s">
        <v>535</v>
      </c>
      <c r="R99" s="8" t="s">
        <v>53</v>
      </c>
      <c r="S99" s="10">
        <v>45481</v>
      </c>
      <c r="T99" s="8" t="s">
        <v>536</v>
      </c>
      <c r="U99" s="8" t="s">
        <v>196</v>
      </c>
      <c r="V99" s="8" t="s">
        <v>155</v>
      </c>
      <c r="W99" s="8" t="s">
        <v>272</v>
      </c>
      <c r="X99" s="8" t="s">
        <v>58</v>
      </c>
      <c r="Y99" s="8" t="s">
        <v>58</v>
      </c>
      <c r="Z99" s="8" t="s">
        <v>31</v>
      </c>
      <c r="AA99" s="8" t="s">
        <v>273</v>
      </c>
    </row>
    <row r="100" spans="1:29">
      <c r="A100" s="8">
        <v>99</v>
      </c>
      <c r="B100" s="8" t="s">
        <v>537</v>
      </c>
      <c r="C100" s="8" t="s">
        <v>430</v>
      </c>
      <c r="D100" s="8" t="s">
        <v>431</v>
      </c>
      <c r="E100" s="12">
        <v>3</v>
      </c>
      <c r="F100" s="12" t="str">
        <f t="shared" si="7"/>
        <v>Indicator</v>
      </c>
      <c r="G100" s="8">
        <v>0</v>
      </c>
      <c r="H100" s="12" t="s">
        <v>538</v>
      </c>
      <c r="I100" s="8" t="s">
        <v>539</v>
      </c>
      <c r="J100" s="8" t="str">
        <f t="shared" si="9"/>
        <v>ACCOUNTABILITY &amp; TRANSPARENCY</v>
      </c>
      <c r="K100" s="8" t="str">
        <f t="shared" si="10"/>
        <v>SECURITY &amp; RULE OF LAW</v>
      </c>
      <c r="L100" s="8" t="s">
        <v>33</v>
      </c>
      <c r="M100" s="8" t="s">
        <v>31</v>
      </c>
      <c r="N100" s="8" t="s">
        <v>31</v>
      </c>
      <c r="O100" s="8" t="s">
        <v>31</v>
      </c>
      <c r="P100" s="8" t="s">
        <v>31</v>
      </c>
      <c r="Q100" s="9" t="s">
        <v>540</v>
      </c>
      <c r="R100" s="8" t="s">
        <v>31</v>
      </c>
      <c r="S100" s="10" t="s">
        <v>31</v>
      </c>
      <c r="T100" s="8" t="s">
        <v>31</v>
      </c>
      <c r="U100" s="8" t="s">
        <v>31</v>
      </c>
      <c r="V100" s="8" t="s">
        <v>31</v>
      </c>
      <c r="W100" s="8" t="s">
        <v>31</v>
      </c>
      <c r="X100" s="8" t="s">
        <v>31</v>
      </c>
      <c r="Y100" s="8" t="s">
        <v>31</v>
      </c>
      <c r="Z100" s="8" t="s">
        <v>31</v>
      </c>
    </row>
    <row r="101" spans="1:29">
      <c r="A101" s="8">
        <v>100</v>
      </c>
      <c r="B101" s="8" t="s">
        <v>541</v>
      </c>
      <c r="C101" s="8" t="s">
        <v>537</v>
      </c>
      <c r="D101" s="8" t="s">
        <v>538</v>
      </c>
      <c r="E101" s="8">
        <v>4</v>
      </c>
      <c r="F101" s="8" t="str">
        <f t="shared" si="7"/>
        <v>Sub-indicator</v>
      </c>
      <c r="G101" s="8">
        <v>0</v>
      </c>
      <c r="H101" s="8" t="s">
        <v>542</v>
      </c>
      <c r="I101" s="8" t="s">
        <v>267</v>
      </c>
      <c r="J101" s="8" t="str">
        <f t="shared" si="9"/>
        <v>ACCOUNTABILITY &amp; TRANSPARENCY</v>
      </c>
      <c r="K101" s="8" t="str">
        <f t="shared" si="10"/>
        <v>SECURITY &amp; RULE OF LAW</v>
      </c>
      <c r="L101" s="8" t="s">
        <v>33</v>
      </c>
      <c r="M101" s="8" t="s">
        <v>31</v>
      </c>
      <c r="N101" s="8" t="s">
        <v>31</v>
      </c>
      <c r="O101" s="8" t="s">
        <v>31</v>
      </c>
      <c r="P101" s="8" t="s">
        <v>31</v>
      </c>
      <c r="Q101" s="9" t="s">
        <v>543</v>
      </c>
      <c r="R101" s="8" t="s">
        <v>31</v>
      </c>
      <c r="S101" s="10" t="s">
        <v>31</v>
      </c>
      <c r="T101" s="8" t="s">
        <v>31</v>
      </c>
      <c r="U101" s="8" t="s">
        <v>31</v>
      </c>
      <c r="V101" s="8" t="s">
        <v>31</v>
      </c>
      <c r="W101" s="8" t="s">
        <v>31</v>
      </c>
      <c r="X101" s="8" t="s">
        <v>31</v>
      </c>
      <c r="Y101" s="8" t="s">
        <v>31</v>
      </c>
      <c r="Z101" s="8" t="s">
        <v>31</v>
      </c>
    </row>
    <row r="102" spans="1:29">
      <c r="A102" s="8">
        <v>101</v>
      </c>
      <c r="B102" s="8" t="s">
        <v>544</v>
      </c>
      <c r="C102" s="8" t="s">
        <v>541</v>
      </c>
      <c r="D102" s="8" t="s">
        <v>542</v>
      </c>
      <c r="E102" s="8">
        <v>5</v>
      </c>
      <c r="F102" s="8" t="str">
        <f t="shared" si="7"/>
        <v>Sub-sub-indicator</v>
      </c>
      <c r="G102" s="8">
        <v>1</v>
      </c>
      <c r="H102" s="8" t="s">
        <v>545</v>
      </c>
      <c r="I102" s="8" t="s">
        <v>267</v>
      </c>
      <c r="J102" s="8" t="str">
        <f t="shared" si="9"/>
        <v>ACCOUNTABILITY &amp; TRANSPARENCY</v>
      </c>
      <c r="K102" s="8" t="str">
        <f t="shared" si="10"/>
        <v>SECURITY &amp; RULE OF LAW</v>
      </c>
      <c r="L102" s="8" t="s">
        <v>268</v>
      </c>
      <c r="M102" s="8" t="s">
        <v>269</v>
      </c>
      <c r="N102" s="8" t="s">
        <v>31</v>
      </c>
      <c r="O102" s="8" t="s">
        <v>31</v>
      </c>
      <c r="P102" s="8" t="s">
        <v>31</v>
      </c>
      <c r="Q102" s="9" t="s">
        <v>546</v>
      </c>
      <c r="R102" s="8" t="s">
        <v>53</v>
      </c>
      <c r="S102" s="10">
        <v>45481</v>
      </c>
      <c r="T102" s="8" t="s">
        <v>547</v>
      </c>
      <c r="U102" s="14" t="s">
        <v>196</v>
      </c>
      <c r="V102" s="8" t="s">
        <v>155</v>
      </c>
      <c r="W102" s="8" t="s">
        <v>272</v>
      </c>
      <c r="X102" s="8" t="s">
        <v>58</v>
      </c>
      <c r="Y102" s="8" t="s">
        <v>58</v>
      </c>
      <c r="Z102" s="8" t="s">
        <v>31</v>
      </c>
      <c r="AA102" s="8" t="s">
        <v>273</v>
      </c>
    </row>
    <row r="103" spans="1:29">
      <c r="A103" s="8">
        <v>102</v>
      </c>
      <c r="B103" s="8" t="s">
        <v>548</v>
      </c>
      <c r="C103" s="8" t="s">
        <v>541</v>
      </c>
      <c r="D103" s="8" t="s">
        <v>542</v>
      </c>
      <c r="E103" s="8">
        <v>5</v>
      </c>
      <c r="F103" s="8" t="str">
        <f t="shared" si="7"/>
        <v>Sub-sub-indicator</v>
      </c>
      <c r="G103" s="8">
        <v>1</v>
      </c>
      <c r="H103" s="8" t="s">
        <v>549</v>
      </c>
      <c r="I103" s="8" t="s">
        <v>267</v>
      </c>
      <c r="J103" s="8" t="str">
        <f t="shared" si="9"/>
        <v>ACCOUNTABILITY &amp; TRANSPARENCY</v>
      </c>
      <c r="K103" s="8" t="str">
        <f t="shared" si="10"/>
        <v>SECURITY &amp; RULE OF LAW</v>
      </c>
      <c r="L103" s="8" t="s">
        <v>268</v>
      </c>
      <c r="M103" s="8" t="s">
        <v>269</v>
      </c>
      <c r="N103" s="8" t="s">
        <v>31</v>
      </c>
      <c r="O103" s="8" t="s">
        <v>31</v>
      </c>
      <c r="P103" s="8" t="s">
        <v>31</v>
      </c>
      <c r="Q103" s="9" t="s">
        <v>550</v>
      </c>
      <c r="R103" s="8" t="s">
        <v>53</v>
      </c>
      <c r="S103" s="10">
        <v>45481</v>
      </c>
      <c r="T103" s="8" t="s">
        <v>551</v>
      </c>
      <c r="U103" s="8" t="s">
        <v>196</v>
      </c>
      <c r="V103" s="8" t="s">
        <v>155</v>
      </c>
      <c r="W103" s="8" t="s">
        <v>272</v>
      </c>
      <c r="X103" s="8" t="s">
        <v>58</v>
      </c>
      <c r="Y103" s="8" t="s">
        <v>58</v>
      </c>
      <c r="Z103" s="8" t="s">
        <v>31</v>
      </c>
      <c r="AA103" s="8" t="s">
        <v>273</v>
      </c>
    </row>
    <row r="104" spans="1:29">
      <c r="A104" s="8">
        <v>103</v>
      </c>
      <c r="B104" s="8" t="s">
        <v>552</v>
      </c>
      <c r="C104" s="8" t="s">
        <v>541</v>
      </c>
      <c r="D104" s="8" t="s">
        <v>542</v>
      </c>
      <c r="E104" s="8">
        <v>5</v>
      </c>
      <c r="F104" s="8" t="str">
        <f t="shared" si="7"/>
        <v>Sub-sub-indicator</v>
      </c>
      <c r="G104" s="8">
        <v>1</v>
      </c>
      <c r="H104" s="8" t="s">
        <v>553</v>
      </c>
      <c r="I104" s="8" t="s">
        <v>267</v>
      </c>
      <c r="J104" s="8" t="str">
        <f t="shared" si="9"/>
        <v>ACCOUNTABILITY &amp; TRANSPARENCY</v>
      </c>
      <c r="K104" s="8" t="str">
        <f t="shared" si="10"/>
        <v>SECURITY &amp; RULE OF LAW</v>
      </c>
      <c r="L104" s="8" t="s">
        <v>268</v>
      </c>
      <c r="M104" s="8" t="s">
        <v>269</v>
      </c>
      <c r="N104" s="8" t="s">
        <v>31</v>
      </c>
      <c r="O104" s="8" t="s">
        <v>31</v>
      </c>
      <c r="P104" s="8" t="s">
        <v>31</v>
      </c>
      <c r="Q104" s="9" t="s">
        <v>554</v>
      </c>
      <c r="R104" s="8" t="s">
        <v>53</v>
      </c>
      <c r="S104" s="10">
        <v>45481</v>
      </c>
      <c r="T104" s="8" t="s">
        <v>555</v>
      </c>
      <c r="U104" s="8" t="s">
        <v>196</v>
      </c>
      <c r="V104" s="8" t="s">
        <v>155</v>
      </c>
      <c r="W104" s="8" t="s">
        <v>272</v>
      </c>
      <c r="X104" s="8" t="s">
        <v>58</v>
      </c>
      <c r="Y104" s="8" t="s">
        <v>58</v>
      </c>
      <c r="Z104" s="8" t="s">
        <v>31</v>
      </c>
      <c r="AA104" s="8" t="s">
        <v>273</v>
      </c>
    </row>
    <row r="105" spans="1:29">
      <c r="A105" s="8">
        <v>104</v>
      </c>
      <c r="B105" s="8" t="s">
        <v>556</v>
      </c>
      <c r="C105" s="8" t="s">
        <v>537</v>
      </c>
      <c r="D105" s="8" t="s">
        <v>538</v>
      </c>
      <c r="E105" s="8">
        <v>4</v>
      </c>
      <c r="F105" s="8" t="s">
        <v>136</v>
      </c>
      <c r="G105" s="8">
        <v>1</v>
      </c>
      <c r="H105" s="8" t="s">
        <v>557</v>
      </c>
      <c r="I105" s="8" t="s">
        <v>558</v>
      </c>
      <c r="J105" s="8" t="s">
        <v>431</v>
      </c>
      <c r="K105" s="8" t="s">
        <v>37</v>
      </c>
      <c r="L105" s="8" t="s">
        <v>559</v>
      </c>
      <c r="M105" s="8" t="s">
        <v>560</v>
      </c>
      <c r="N105" s="8" t="s">
        <v>31</v>
      </c>
      <c r="O105" s="8" t="s">
        <v>31</v>
      </c>
      <c r="P105" s="8" t="s">
        <v>31</v>
      </c>
      <c r="Q105" s="9" t="s">
        <v>561</v>
      </c>
      <c r="R105" s="8" t="s">
        <v>507</v>
      </c>
      <c r="S105" s="10">
        <v>45498</v>
      </c>
      <c r="T105" s="8" t="s">
        <v>562</v>
      </c>
      <c r="U105" s="8" t="s">
        <v>154</v>
      </c>
      <c r="V105" s="8" t="s">
        <v>155</v>
      </c>
      <c r="W105" s="8" t="s">
        <v>563</v>
      </c>
      <c r="X105" s="8" t="s">
        <v>564</v>
      </c>
      <c r="Y105" s="8" t="s">
        <v>58</v>
      </c>
      <c r="Z105" s="8" t="s">
        <v>31</v>
      </c>
      <c r="AA105" s="8" t="s">
        <v>565</v>
      </c>
    </row>
    <row r="106" spans="1:29">
      <c r="A106" s="8">
        <v>105</v>
      </c>
      <c r="B106" s="8" t="s">
        <v>566</v>
      </c>
      <c r="C106" s="8" t="s">
        <v>537</v>
      </c>
      <c r="D106" s="8" t="s">
        <v>538</v>
      </c>
      <c r="E106" s="8">
        <v>4</v>
      </c>
      <c r="F106" s="8" t="str">
        <f t="shared" si="7"/>
        <v>Sub-indicator</v>
      </c>
      <c r="G106" s="8">
        <v>1</v>
      </c>
      <c r="H106" s="8" t="s">
        <v>567</v>
      </c>
      <c r="I106" s="8" t="s">
        <v>235</v>
      </c>
      <c r="J106" s="8" t="str">
        <f t="shared" si="9"/>
        <v>ACCOUNTABILITY &amp; TRANSPARENCY</v>
      </c>
      <c r="K106" s="8" t="str">
        <f t="shared" si="10"/>
        <v>SECURITY &amp; RULE OF LAW</v>
      </c>
      <c r="L106" s="8" t="s">
        <v>236</v>
      </c>
      <c r="M106" s="8" t="s">
        <v>237</v>
      </c>
      <c r="N106" s="8" t="s">
        <v>31</v>
      </c>
      <c r="O106" s="8" t="s">
        <v>31</v>
      </c>
      <c r="P106" s="8" t="s">
        <v>31</v>
      </c>
      <c r="Q106" s="8" t="s">
        <v>568</v>
      </c>
      <c r="R106" s="8" t="s">
        <v>239</v>
      </c>
      <c r="S106" s="10">
        <v>45440</v>
      </c>
      <c r="T106" s="8" t="s">
        <v>569</v>
      </c>
      <c r="U106" s="8" t="s">
        <v>154</v>
      </c>
      <c r="V106" s="8" t="s">
        <v>155</v>
      </c>
      <c r="W106" s="8" t="s">
        <v>241</v>
      </c>
      <c r="X106" s="8" t="s">
        <v>242</v>
      </c>
      <c r="Y106" s="8" t="s">
        <v>58</v>
      </c>
      <c r="Z106" s="8" t="s">
        <v>31</v>
      </c>
      <c r="AA106" s="8" t="s">
        <v>304</v>
      </c>
      <c r="AB106" s="8" t="s">
        <v>244</v>
      </c>
    </row>
    <row r="107" spans="1:29">
      <c r="A107" s="8">
        <v>106</v>
      </c>
      <c r="B107" s="8" t="s">
        <v>570</v>
      </c>
      <c r="C107" s="8" t="s">
        <v>537</v>
      </c>
      <c r="D107" s="8" t="s">
        <v>538</v>
      </c>
      <c r="E107" s="8">
        <v>4</v>
      </c>
      <c r="F107" s="8" t="str">
        <f t="shared" si="7"/>
        <v>Sub-indicator</v>
      </c>
      <c r="G107" s="8">
        <v>0</v>
      </c>
      <c r="H107" s="8" t="s">
        <v>571</v>
      </c>
      <c r="I107" s="8" t="s">
        <v>267</v>
      </c>
      <c r="J107" s="8" t="str">
        <f t="shared" si="9"/>
        <v>ACCOUNTABILITY &amp; TRANSPARENCY</v>
      </c>
      <c r="K107" s="8" t="str">
        <f t="shared" si="10"/>
        <v>SECURITY &amp; RULE OF LAW</v>
      </c>
      <c r="L107" s="8" t="s">
        <v>33</v>
      </c>
      <c r="M107" s="8" t="s">
        <v>31</v>
      </c>
      <c r="N107" s="8" t="s">
        <v>31</v>
      </c>
      <c r="O107" s="8" t="s">
        <v>31</v>
      </c>
      <c r="P107" s="8" t="s">
        <v>31</v>
      </c>
      <c r="Q107" s="8" t="s">
        <v>572</v>
      </c>
      <c r="R107" s="8" t="s">
        <v>31</v>
      </c>
      <c r="S107" s="10" t="s">
        <v>31</v>
      </c>
      <c r="T107" s="8" t="s">
        <v>31</v>
      </c>
      <c r="U107" s="8" t="s">
        <v>31</v>
      </c>
      <c r="V107" s="8" t="s">
        <v>31</v>
      </c>
      <c r="W107" s="8" t="s">
        <v>31</v>
      </c>
      <c r="X107" s="8" t="s">
        <v>31</v>
      </c>
      <c r="Y107" s="8" t="s">
        <v>31</v>
      </c>
      <c r="Z107" s="8" t="s">
        <v>31</v>
      </c>
    </row>
    <row r="108" spans="1:29">
      <c r="A108" s="8">
        <v>107</v>
      </c>
      <c r="B108" s="8" t="s">
        <v>573</v>
      </c>
      <c r="C108" s="8" t="s">
        <v>570</v>
      </c>
      <c r="D108" s="8" t="s">
        <v>571</v>
      </c>
      <c r="E108" s="8">
        <v>5</v>
      </c>
      <c r="F108" s="8" t="str">
        <f t="shared" si="7"/>
        <v>Sub-sub-indicator</v>
      </c>
      <c r="G108" s="8">
        <v>1</v>
      </c>
      <c r="H108" s="8" t="s">
        <v>574</v>
      </c>
      <c r="I108" s="8" t="s">
        <v>267</v>
      </c>
      <c r="J108" s="8" t="str">
        <f t="shared" si="9"/>
        <v>ACCOUNTABILITY &amp; TRANSPARENCY</v>
      </c>
      <c r="K108" s="8" t="str">
        <f t="shared" si="10"/>
        <v>SECURITY &amp; RULE OF LAW</v>
      </c>
      <c r="L108" s="8" t="s">
        <v>268</v>
      </c>
      <c r="M108" s="8" t="s">
        <v>269</v>
      </c>
      <c r="N108" s="8" t="s">
        <v>31</v>
      </c>
      <c r="O108" s="8" t="s">
        <v>31</v>
      </c>
      <c r="P108" s="8" t="s">
        <v>31</v>
      </c>
      <c r="Q108" s="9" t="s">
        <v>575</v>
      </c>
      <c r="R108" s="8" t="s">
        <v>53</v>
      </c>
      <c r="S108" s="10">
        <v>45481</v>
      </c>
      <c r="T108" s="8" t="s">
        <v>576</v>
      </c>
      <c r="U108" s="14" t="s">
        <v>196</v>
      </c>
      <c r="V108" s="8" t="s">
        <v>155</v>
      </c>
      <c r="W108" s="8" t="s">
        <v>272</v>
      </c>
      <c r="X108" s="8" t="s">
        <v>58</v>
      </c>
      <c r="Y108" s="8" t="s">
        <v>58</v>
      </c>
      <c r="Z108" s="8" t="s">
        <v>31</v>
      </c>
      <c r="AA108" s="8" t="s">
        <v>273</v>
      </c>
    </row>
    <row r="109" spans="1:29">
      <c r="A109" s="8">
        <v>108</v>
      </c>
      <c r="B109" s="8" t="s">
        <v>577</v>
      </c>
      <c r="C109" s="8" t="s">
        <v>570</v>
      </c>
      <c r="D109" s="8" t="s">
        <v>571</v>
      </c>
      <c r="E109" s="8">
        <v>5</v>
      </c>
      <c r="F109" s="8" t="str">
        <f t="shared" si="7"/>
        <v>Sub-sub-indicator</v>
      </c>
      <c r="G109" s="8">
        <v>1</v>
      </c>
      <c r="H109" s="8" t="s">
        <v>578</v>
      </c>
      <c r="I109" s="8" t="s">
        <v>267</v>
      </c>
      <c r="J109" s="8" t="str">
        <f t="shared" si="9"/>
        <v>ACCOUNTABILITY &amp; TRANSPARENCY</v>
      </c>
      <c r="K109" s="8" t="str">
        <f t="shared" si="10"/>
        <v>SECURITY &amp; RULE OF LAW</v>
      </c>
      <c r="L109" s="8" t="s">
        <v>268</v>
      </c>
      <c r="M109" s="8" t="s">
        <v>269</v>
      </c>
      <c r="N109" s="8" t="s">
        <v>31</v>
      </c>
      <c r="O109" s="8" t="s">
        <v>31</v>
      </c>
      <c r="P109" s="8" t="s">
        <v>31</v>
      </c>
      <c r="Q109" s="9" t="s">
        <v>579</v>
      </c>
      <c r="R109" s="8" t="s">
        <v>53</v>
      </c>
      <c r="S109" s="10">
        <v>45481</v>
      </c>
      <c r="T109" s="8" t="s">
        <v>580</v>
      </c>
      <c r="U109" s="14" t="s">
        <v>196</v>
      </c>
      <c r="V109" s="8" t="s">
        <v>155</v>
      </c>
      <c r="W109" s="8" t="s">
        <v>272</v>
      </c>
      <c r="X109" s="8" t="s">
        <v>58</v>
      </c>
      <c r="Y109" s="8" t="s">
        <v>58</v>
      </c>
      <c r="Z109" s="8" t="s">
        <v>31</v>
      </c>
      <c r="AA109" s="8" t="s">
        <v>273</v>
      </c>
    </row>
    <row r="110" spans="1:29">
      <c r="A110" s="8">
        <v>109</v>
      </c>
      <c r="B110" s="8" t="s">
        <v>581</v>
      </c>
      <c r="C110" s="8" t="s">
        <v>537</v>
      </c>
      <c r="D110" s="8" t="s">
        <v>538</v>
      </c>
      <c r="E110" s="8">
        <v>4</v>
      </c>
      <c r="F110" s="8" t="s">
        <v>136</v>
      </c>
      <c r="G110" s="8">
        <v>1</v>
      </c>
      <c r="H110" s="8" t="s">
        <v>582</v>
      </c>
      <c r="I110" s="8" t="s">
        <v>267</v>
      </c>
      <c r="J110" s="8" t="s">
        <v>431</v>
      </c>
      <c r="K110" s="8" t="s">
        <v>37</v>
      </c>
      <c r="L110" s="8" t="s">
        <v>268</v>
      </c>
      <c r="M110" s="8" t="s">
        <v>269</v>
      </c>
      <c r="N110" s="8" t="s">
        <v>31</v>
      </c>
      <c r="O110" s="8" t="s">
        <v>31</v>
      </c>
      <c r="P110" s="8" t="s">
        <v>31</v>
      </c>
      <c r="Q110" s="9" t="s">
        <v>583</v>
      </c>
      <c r="R110" s="8" t="s">
        <v>53</v>
      </c>
      <c r="S110" s="10">
        <v>45485</v>
      </c>
      <c r="T110" s="8" t="s">
        <v>584</v>
      </c>
      <c r="U110" s="14" t="s">
        <v>196</v>
      </c>
      <c r="V110" s="8" t="s">
        <v>155</v>
      </c>
      <c r="W110" s="8" t="s">
        <v>272</v>
      </c>
      <c r="X110" s="8" t="s">
        <v>58</v>
      </c>
      <c r="Y110" s="8" t="s">
        <v>58</v>
      </c>
      <c r="Z110" s="8" t="s">
        <v>31</v>
      </c>
      <c r="AA110" s="8" t="s">
        <v>273</v>
      </c>
    </row>
    <row r="111" spans="1:29">
      <c r="A111" s="8">
        <v>110</v>
      </c>
      <c r="B111" s="8" t="s">
        <v>585</v>
      </c>
      <c r="C111" s="8" t="s">
        <v>430</v>
      </c>
      <c r="D111" s="8" t="s">
        <v>431</v>
      </c>
      <c r="E111" s="12">
        <v>3</v>
      </c>
      <c r="F111" s="12" t="s">
        <v>186</v>
      </c>
      <c r="G111" s="8">
        <v>0</v>
      </c>
      <c r="H111" s="12" t="s">
        <v>586</v>
      </c>
      <c r="I111" s="8" t="s">
        <v>188</v>
      </c>
      <c r="J111" s="8" t="s">
        <v>431</v>
      </c>
      <c r="K111" s="8" t="s">
        <v>37</v>
      </c>
      <c r="L111" s="8" t="s">
        <v>33</v>
      </c>
      <c r="M111" s="8" t="s">
        <v>31</v>
      </c>
      <c r="N111" s="8" t="s">
        <v>31</v>
      </c>
      <c r="O111" s="8" t="s">
        <v>31</v>
      </c>
      <c r="P111" s="8" t="s">
        <v>31</v>
      </c>
      <c r="Q111" s="9" t="s">
        <v>587</v>
      </c>
      <c r="R111" s="8" t="s">
        <v>31</v>
      </c>
      <c r="S111" s="10" t="s">
        <v>31</v>
      </c>
      <c r="T111" s="8" t="s">
        <v>31</v>
      </c>
      <c r="U111" s="14" t="s">
        <v>31</v>
      </c>
      <c r="V111" s="8" t="s">
        <v>31</v>
      </c>
      <c r="W111" s="8" t="s">
        <v>31</v>
      </c>
      <c r="X111" s="8" t="s">
        <v>31</v>
      </c>
      <c r="Y111" s="8" t="s">
        <v>31</v>
      </c>
      <c r="Z111" s="8" t="s">
        <v>31</v>
      </c>
    </row>
    <row r="112" spans="1:29">
      <c r="A112" s="8">
        <v>111</v>
      </c>
      <c r="B112" s="8" t="s">
        <v>588</v>
      </c>
      <c r="C112" s="8" t="s">
        <v>585</v>
      </c>
      <c r="D112" s="8" t="s">
        <v>586</v>
      </c>
      <c r="E112" s="8">
        <v>4</v>
      </c>
      <c r="F112" s="8" t="s">
        <v>136</v>
      </c>
      <c r="G112" s="8">
        <v>1</v>
      </c>
      <c r="H112" s="8" t="s">
        <v>589</v>
      </c>
      <c r="I112" s="8" t="s">
        <v>188</v>
      </c>
      <c r="J112" s="8" t="s">
        <v>431</v>
      </c>
      <c r="K112" s="8" t="s">
        <v>37</v>
      </c>
      <c r="L112" s="8" t="s">
        <v>192</v>
      </c>
      <c r="M112" s="8" t="s">
        <v>193</v>
      </c>
      <c r="N112" s="8" t="s">
        <v>31</v>
      </c>
      <c r="O112" s="8" t="s">
        <v>31</v>
      </c>
      <c r="P112" s="8" t="s">
        <v>31</v>
      </c>
      <c r="Q112" s="9" t="s">
        <v>590</v>
      </c>
      <c r="R112" s="8" t="s">
        <v>53</v>
      </c>
      <c r="S112" s="10">
        <v>45474</v>
      </c>
      <c r="T112" s="8" t="s">
        <v>591</v>
      </c>
      <c r="U112" s="14" t="s">
        <v>196</v>
      </c>
      <c r="V112" s="8" t="s">
        <v>197</v>
      </c>
      <c r="W112" s="8" t="s">
        <v>198</v>
      </c>
      <c r="X112" s="8" t="s">
        <v>592</v>
      </c>
      <c r="Y112" s="8" t="s">
        <v>593</v>
      </c>
      <c r="Z112" s="8" t="s">
        <v>31</v>
      </c>
      <c r="AA112" s="8" t="s">
        <v>201</v>
      </c>
      <c r="AB112" s="8" t="s">
        <v>202</v>
      </c>
    </row>
    <row r="113" spans="1:30">
      <c r="A113" s="8">
        <v>112</v>
      </c>
      <c r="B113" s="8" t="s">
        <v>594</v>
      </c>
      <c r="C113" s="8" t="s">
        <v>585</v>
      </c>
      <c r="D113" s="8" t="s">
        <v>586</v>
      </c>
      <c r="E113" s="8">
        <v>4</v>
      </c>
      <c r="F113" s="8" t="s">
        <v>136</v>
      </c>
      <c r="G113" s="8">
        <v>1</v>
      </c>
      <c r="H113" s="8" t="s">
        <v>595</v>
      </c>
      <c r="I113" s="8" t="s">
        <v>188</v>
      </c>
      <c r="J113" s="8" t="s">
        <v>431</v>
      </c>
      <c r="K113" s="8" t="s">
        <v>37</v>
      </c>
      <c r="L113" s="8" t="s">
        <v>192</v>
      </c>
      <c r="M113" s="8" t="s">
        <v>193</v>
      </c>
      <c r="N113" s="8" t="s">
        <v>31</v>
      </c>
      <c r="O113" s="8" t="s">
        <v>31</v>
      </c>
      <c r="P113" s="8" t="s">
        <v>31</v>
      </c>
      <c r="Q113" s="9" t="s">
        <v>596</v>
      </c>
      <c r="R113" s="8" t="s">
        <v>53</v>
      </c>
      <c r="S113" s="10">
        <v>45474</v>
      </c>
      <c r="T113" s="8" t="s">
        <v>597</v>
      </c>
      <c r="U113" s="8" t="s">
        <v>196</v>
      </c>
      <c r="V113" s="19" t="s">
        <v>197</v>
      </c>
      <c r="W113" s="8" t="s">
        <v>198</v>
      </c>
      <c r="X113" s="8" t="s">
        <v>199</v>
      </c>
      <c r="Y113" s="8" t="s">
        <v>200</v>
      </c>
      <c r="Z113" s="8" t="s">
        <v>31</v>
      </c>
      <c r="AA113" s="8" t="s">
        <v>201</v>
      </c>
      <c r="AB113" s="8" t="s">
        <v>202</v>
      </c>
    </row>
    <row r="114" spans="1:30" s="6" customFormat="1">
      <c r="A114" s="6">
        <v>113</v>
      </c>
      <c r="B114" s="6" t="s">
        <v>598</v>
      </c>
      <c r="C114" s="6" t="s">
        <v>36</v>
      </c>
      <c r="D114" s="6" t="s">
        <v>37</v>
      </c>
      <c r="E114" s="6">
        <v>2</v>
      </c>
      <c r="F114" s="6" t="str">
        <f t="shared" si="7"/>
        <v>Sub-category</v>
      </c>
      <c r="G114" s="6">
        <v>0</v>
      </c>
      <c r="H114" s="6" t="s">
        <v>599</v>
      </c>
      <c r="I114" s="7" t="s">
        <v>31</v>
      </c>
      <c r="J114" s="6" t="s">
        <v>31</v>
      </c>
      <c r="K114" s="6" t="str">
        <f>H3</f>
        <v>SECURITY &amp; RULE OF LAW</v>
      </c>
      <c r="L114" s="6" t="s">
        <v>33</v>
      </c>
      <c r="M114" s="6" t="s">
        <v>31</v>
      </c>
      <c r="N114" s="6" t="s">
        <v>31</v>
      </c>
      <c r="O114" s="6" t="s">
        <v>31</v>
      </c>
      <c r="P114" s="6" t="s">
        <v>31</v>
      </c>
      <c r="Q114" s="6" t="s">
        <v>600</v>
      </c>
      <c r="R114" s="6" t="s">
        <v>31</v>
      </c>
      <c r="S114" s="6" t="s">
        <v>31</v>
      </c>
      <c r="T114" s="6" t="s">
        <v>31</v>
      </c>
      <c r="U114" s="6" t="s">
        <v>31</v>
      </c>
      <c r="V114" s="6" t="s">
        <v>31</v>
      </c>
      <c r="W114" s="6" t="s">
        <v>31</v>
      </c>
      <c r="X114" s="6" t="s">
        <v>31</v>
      </c>
      <c r="Y114" s="6" t="s">
        <v>31</v>
      </c>
      <c r="Z114" s="6" t="s">
        <v>31</v>
      </c>
    </row>
    <row r="115" spans="1:30">
      <c r="A115" s="8">
        <v>114</v>
      </c>
      <c r="B115" s="8" t="s">
        <v>601</v>
      </c>
      <c r="C115" s="8" t="s">
        <v>598</v>
      </c>
      <c r="D115" s="8" t="s">
        <v>599</v>
      </c>
      <c r="E115" s="12">
        <v>3</v>
      </c>
      <c r="F115" s="12" t="str">
        <f t="shared" si="7"/>
        <v>Indicator</v>
      </c>
      <c r="G115" s="8">
        <v>0</v>
      </c>
      <c r="H115" s="12" t="s">
        <v>602</v>
      </c>
      <c r="I115" s="8" t="s">
        <v>603</v>
      </c>
      <c r="J115" s="8" t="str">
        <f>$H$114</f>
        <v>ANTI-CORRUPTION</v>
      </c>
      <c r="K115" s="8" t="str">
        <f>$H$3</f>
        <v>SECURITY &amp; RULE OF LAW</v>
      </c>
      <c r="L115" s="8" t="s">
        <v>33</v>
      </c>
      <c r="M115" s="8" t="s">
        <v>31</v>
      </c>
      <c r="N115" s="8" t="s">
        <v>31</v>
      </c>
      <c r="O115" s="8" t="s">
        <v>31</v>
      </c>
      <c r="P115" s="8" t="s">
        <v>31</v>
      </c>
      <c r="Q115" s="9" t="s">
        <v>604</v>
      </c>
      <c r="R115" s="8" t="s">
        <v>31</v>
      </c>
      <c r="S115" s="13" t="s">
        <v>31</v>
      </c>
      <c r="T115" s="8" t="s">
        <v>31</v>
      </c>
      <c r="U115" s="8" t="s">
        <v>31</v>
      </c>
      <c r="V115" s="8" t="s">
        <v>31</v>
      </c>
      <c r="W115" s="8" t="s">
        <v>31</v>
      </c>
      <c r="X115" s="8" t="s">
        <v>31</v>
      </c>
      <c r="Y115" s="8" t="s">
        <v>31</v>
      </c>
      <c r="Z115" s="8" t="s">
        <v>31</v>
      </c>
    </row>
    <row r="116" spans="1:30">
      <c r="A116" s="8">
        <v>115</v>
      </c>
      <c r="B116" s="8" t="s">
        <v>605</v>
      </c>
      <c r="C116" s="8" t="s">
        <v>601</v>
      </c>
      <c r="D116" s="8" t="s">
        <v>602</v>
      </c>
      <c r="E116" s="8">
        <v>4</v>
      </c>
      <c r="F116" s="8" t="str">
        <f t="shared" si="7"/>
        <v>Sub-indicator</v>
      </c>
      <c r="G116" s="8">
        <v>1</v>
      </c>
      <c r="H116" s="8" t="s">
        <v>606</v>
      </c>
      <c r="I116" s="8" t="s">
        <v>400</v>
      </c>
      <c r="J116" s="8" t="str">
        <f>$H$114</f>
        <v>ANTI-CORRUPTION</v>
      </c>
      <c r="K116" s="8" t="str">
        <f>$H$3</f>
        <v>SECURITY &amp; RULE OF LAW</v>
      </c>
      <c r="L116" s="8" t="s">
        <v>401</v>
      </c>
      <c r="M116" s="8" t="s">
        <v>402</v>
      </c>
      <c r="N116" s="8" t="s">
        <v>31</v>
      </c>
      <c r="O116" s="8" t="s">
        <v>31</v>
      </c>
      <c r="P116" s="8" t="s">
        <v>31</v>
      </c>
      <c r="Q116" s="9" t="s">
        <v>607</v>
      </c>
      <c r="R116" s="8" t="s">
        <v>404</v>
      </c>
      <c r="S116" s="10">
        <v>45427</v>
      </c>
      <c r="T116" s="8" t="s">
        <v>608</v>
      </c>
      <c r="U116" s="8" t="s">
        <v>144</v>
      </c>
      <c r="V116" s="8" t="s">
        <v>155</v>
      </c>
      <c r="W116" s="8" t="s">
        <v>406</v>
      </c>
      <c r="X116" s="8" t="s">
        <v>407</v>
      </c>
      <c r="Y116" s="8" t="s">
        <v>58</v>
      </c>
      <c r="Z116" s="8" t="s">
        <v>31</v>
      </c>
      <c r="AA116" s="8" t="s">
        <v>408</v>
      </c>
      <c r="AB116" s="18" t="s">
        <v>409</v>
      </c>
      <c r="AC116" s="20"/>
      <c r="AD116" s="20"/>
    </row>
    <row r="117" spans="1:30">
      <c r="A117" s="8">
        <v>116</v>
      </c>
      <c r="B117" s="8" t="s">
        <v>609</v>
      </c>
      <c r="C117" s="8" t="s">
        <v>601</v>
      </c>
      <c r="D117" s="8" t="s">
        <v>602</v>
      </c>
      <c r="E117" s="8">
        <v>4</v>
      </c>
      <c r="F117" s="8" t="str">
        <f t="shared" si="7"/>
        <v>Sub-indicator</v>
      </c>
      <c r="G117" s="8">
        <v>1</v>
      </c>
      <c r="H117" s="8" t="s">
        <v>610</v>
      </c>
      <c r="I117" s="8" t="s">
        <v>267</v>
      </c>
      <c r="J117" s="8" t="str">
        <f>$H$114</f>
        <v>ANTI-CORRUPTION</v>
      </c>
      <c r="K117" s="8" t="str">
        <f>$H$3</f>
        <v>SECURITY &amp; RULE OF LAW</v>
      </c>
      <c r="L117" s="8" t="s">
        <v>268</v>
      </c>
      <c r="M117" s="8" t="s">
        <v>269</v>
      </c>
      <c r="N117" s="8" t="s">
        <v>31</v>
      </c>
      <c r="O117" s="8" t="s">
        <v>31</v>
      </c>
      <c r="P117" s="8" t="s">
        <v>31</v>
      </c>
      <c r="Q117" s="9" t="s">
        <v>611</v>
      </c>
      <c r="R117" s="8" t="s">
        <v>53</v>
      </c>
      <c r="S117" s="10">
        <v>45481</v>
      </c>
      <c r="T117" s="8" t="s">
        <v>612</v>
      </c>
      <c r="U117" s="8" t="s">
        <v>196</v>
      </c>
      <c r="V117" s="8" t="s">
        <v>155</v>
      </c>
      <c r="W117" s="8" t="s">
        <v>272</v>
      </c>
      <c r="X117" s="8" t="s">
        <v>58</v>
      </c>
      <c r="Y117" s="8" t="s">
        <v>58</v>
      </c>
      <c r="Z117" s="8" t="s">
        <v>31</v>
      </c>
      <c r="AA117" s="8" t="s">
        <v>273</v>
      </c>
    </row>
    <row r="118" spans="1:30">
      <c r="A118" s="8">
        <v>117</v>
      </c>
      <c r="B118" s="8" t="s">
        <v>613</v>
      </c>
      <c r="C118" s="8" t="s">
        <v>601</v>
      </c>
      <c r="D118" s="8" t="s">
        <v>602</v>
      </c>
      <c r="E118" s="8">
        <v>4</v>
      </c>
      <c r="F118" s="8" t="str">
        <f t="shared" si="7"/>
        <v>Sub-indicator</v>
      </c>
      <c r="G118" s="8">
        <v>1</v>
      </c>
      <c r="H118" s="8" t="s">
        <v>614</v>
      </c>
      <c r="I118" s="8" t="s">
        <v>267</v>
      </c>
      <c r="J118" s="8" t="str">
        <f>$H$114</f>
        <v>ANTI-CORRUPTION</v>
      </c>
      <c r="K118" s="8" t="str">
        <f>$H$3</f>
        <v>SECURITY &amp; RULE OF LAW</v>
      </c>
      <c r="L118" s="8" t="s">
        <v>268</v>
      </c>
      <c r="M118" s="8" t="s">
        <v>269</v>
      </c>
      <c r="N118" s="8" t="s">
        <v>31</v>
      </c>
      <c r="O118" s="8" t="s">
        <v>31</v>
      </c>
      <c r="P118" s="8" t="s">
        <v>31</v>
      </c>
      <c r="Q118" s="9" t="s">
        <v>615</v>
      </c>
      <c r="R118" s="8" t="s">
        <v>53</v>
      </c>
      <c r="S118" s="10">
        <v>45481</v>
      </c>
      <c r="T118" s="8" t="s">
        <v>616</v>
      </c>
      <c r="U118" s="8" t="s">
        <v>196</v>
      </c>
      <c r="V118" s="8" t="s">
        <v>155</v>
      </c>
      <c r="W118" s="8" t="s">
        <v>272</v>
      </c>
      <c r="X118" s="8" t="s">
        <v>58</v>
      </c>
      <c r="Y118" s="8" t="s">
        <v>58</v>
      </c>
      <c r="Z118" s="8" t="s">
        <v>31</v>
      </c>
      <c r="AA118" s="8" t="s">
        <v>273</v>
      </c>
    </row>
    <row r="119" spans="1:30">
      <c r="A119" s="8">
        <v>118</v>
      </c>
      <c r="B119" s="8" t="s">
        <v>617</v>
      </c>
      <c r="C119" s="8" t="s">
        <v>601</v>
      </c>
      <c r="D119" s="8" t="s">
        <v>602</v>
      </c>
      <c r="E119" s="8">
        <v>4</v>
      </c>
      <c r="F119" s="8" t="s">
        <v>136</v>
      </c>
      <c r="G119" s="8">
        <v>1</v>
      </c>
      <c r="H119" s="8" t="s">
        <v>618</v>
      </c>
      <c r="I119" s="8" t="s">
        <v>267</v>
      </c>
      <c r="J119" s="8" t="s">
        <v>599</v>
      </c>
      <c r="K119" s="8" t="s">
        <v>37</v>
      </c>
      <c r="L119" s="8" t="s">
        <v>268</v>
      </c>
      <c r="M119" s="8" t="s">
        <v>269</v>
      </c>
      <c r="N119" s="8" t="s">
        <v>31</v>
      </c>
      <c r="O119" s="8" t="s">
        <v>31</v>
      </c>
      <c r="P119" s="8" t="s">
        <v>31</v>
      </c>
      <c r="Q119" s="9" t="s">
        <v>619</v>
      </c>
      <c r="R119" s="8" t="s">
        <v>53</v>
      </c>
      <c r="S119" s="10">
        <v>45485</v>
      </c>
      <c r="T119" s="8" t="s">
        <v>620</v>
      </c>
      <c r="U119" s="8" t="s">
        <v>196</v>
      </c>
      <c r="V119" s="8" t="s">
        <v>155</v>
      </c>
      <c r="W119" s="8" t="s">
        <v>272</v>
      </c>
      <c r="X119" s="8" t="s">
        <v>58</v>
      </c>
      <c r="Y119" s="8" t="s">
        <v>58</v>
      </c>
      <c r="Z119" s="8" t="s">
        <v>31</v>
      </c>
      <c r="AA119" s="8" t="s">
        <v>273</v>
      </c>
    </row>
    <row r="120" spans="1:30">
      <c r="A120" s="8">
        <v>119</v>
      </c>
      <c r="B120" s="8" t="s">
        <v>621</v>
      </c>
      <c r="C120" s="8" t="s">
        <v>598</v>
      </c>
      <c r="D120" s="8" t="s">
        <v>599</v>
      </c>
      <c r="E120" s="12">
        <v>3</v>
      </c>
      <c r="F120" s="12" t="str">
        <f t="shared" si="7"/>
        <v>Indicator</v>
      </c>
      <c r="G120" s="8">
        <v>0</v>
      </c>
      <c r="H120" s="12" t="s">
        <v>622</v>
      </c>
      <c r="I120" s="8" t="s">
        <v>223</v>
      </c>
      <c r="J120" s="8" t="str">
        <f>H114</f>
        <v>ANTI-CORRUPTION</v>
      </c>
      <c r="K120" s="8" t="str">
        <f>H3</f>
        <v>SECURITY &amp; RULE OF LAW</v>
      </c>
      <c r="L120" s="8" t="s">
        <v>33</v>
      </c>
      <c r="M120" s="8" t="s">
        <v>31</v>
      </c>
      <c r="N120" s="8" t="s">
        <v>31</v>
      </c>
      <c r="O120" s="8" t="s">
        <v>31</v>
      </c>
      <c r="P120" s="8" t="s">
        <v>31</v>
      </c>
      <c r="Q120" s="9" t="s">
        <v>623</v>
      </c>
      <c r="R120" s="8" t="s">
        <v>31</v>
      </c>
      <c r="S120" s="10" t="s">
        <v>31</v>
      </c>
      <c r="T120" s="8" t="s">
        <v>31</v>
      </c>
      <c r="U120" s="8" t="s">
        <v>31</v>
      </c>
      <c r="V120" s="8" t="s">
        <v>31</v>
      </c>
      <c r="W120" s="8" t="s">
        <v>31</v>
      </c>
      <c r="X120" s="8" t="s">
        <v>31</v>
      </c>
      <c r="Y120" s="8" t="s">
        <v>31</v>
      </c>
      <c r="Z120" s="8" t="s">
        <v>31</v>
      </c>
    </row>
    <row r="121" spans="1:30">
      <c r="A121" s="8">
        <v>120</v>
      </c>
      <c r="B121" s="8" t="s">
        <v>624</v>
      </c>
      <c r="C121" s="8" t="s">
        <v>621</v>
      </c>
      <c r="D121" s="8" t="s">
        <v>622</v>
      </c>
      <c r="E121" s="8">
        <v>4</v>
      </c>
      <c r="F121" s="8" t="str">
        <f t="shared" si="7"/>
        <v>Sub-indicator</v>
      </c>
      <c r="G121" s="8">
        <v>0</v>
      </c>
      <c r="H121" s="8" t="s">
        <v>625</v>
      </c>
      <c r="I121" s="8" t="s">
        <v>223</v>
      </c>
      <c r="J121" s="8" t="str">
        <f>H114</f>
        <v>ANTI-CORRUPTION</v>
      </c>
      <c r="K121" s="8" t="str">
        <f t="shared" ref="K121:K151" si="11">$H$3</f>
        <v>SECURITY &amp; RULE OF LAW</v>
      </c>
      <c r="L121" s="8" t="s">
        <v>33</v>
      </c>
      <c r="M121" s="8" t="s">
        <v>31</v>
      </c>
      <c r="N121" s="8" t="s">
        <v>31</v>
      </c>
      <c r="O121" s="8" t="s">
        <v>31</v>
      </c>
      <c r="P121" s="8" t="s">
        <v>31</v>
      </c>
      <c r="Q121" s="9" t="s">
        <v>626</v>
      </c>
      <c r="R121" s="8" t="s">
        <v>31</v>
      </c>
      <c r="S121" s="10" t="s">
        <v>31</v>
      </c>
      <c r="T121" s="8" t="s">
        <v>31</v>
      </c>
      <c r="U121" s="8" t="s">
        <v>31</v>
      </c>
      <c r="V121" s="8" t="s">
        <v>31</v>
      </c>
      <c r="W121" s="8" t="s">
        <v>31</v>
      </c>
      <c r="X121" s="8" t="s">
        <v>31</v>
      </c>
      <c r="Y121" s="8" t="s">
        <v>31</v>
      </c>
      <c r="Z121" s="8" t="s">
        <v>31</v>
      </c>
    </row>
    <row r="122" spans="1:30">
      <c r="A122" s="8">
        <v>121</v>
      </c>
      <c r="B122" s="8" t="s">
        <v>627</v>
      </c>
      <c r="C122" s="8" t="s">
        <v>624</v>
      </c>
      <c r="D122" s="8" t="s">
        <v>625</v>
      </c>
      <c r="E122" s="8">
        <v>5</v>
      </c>
      <c r="F122" s="8" t="str">
        <f t="shared" si="7"/>
        <v>Sub-sub-indicator</v>
      </c>
      <c r="G122" s="8">
        <v>1</v>
      </c>
      <c r="H122" s="8" t="s">
        <v>628</v>
      </c>
      <c r="I122" s="8" t="s">
        <v>149</v>
      </c>
      <c r="J122" s="8" t="str">
        <f t="shared" ref="J122:J151" si="12">$H$114</f>
        <v>ANTI-CORRUPTION</v>
      </c>
      <c r="K122" s="8" t="str">
        <f t="shared" si="11"/>
        <v>SECURITY &amp; RULE OF LAW</v>
      </c>
      <c r="L122" s="8" t="s">
        <v>150</v>
      </c>
      <c r="M122" s="8" t="s">
        <v>151</v>
      </c>
      <c r="N122" s="8" t="s">
        <v>31</v>
      </c>
      <c r="O122" s="8" t="s">
        <v>31</v>
      </c>
      <c r="P122" s="8" t="s">
        <v>31</v>
      </c>
      <c r="Q122" s="9" t="s">
        <v>629</v>
      </c>
      <c r="R122" s="8" t="s">
        <v>53</v>
      </c>
      <c r="S122" s="10">
        <v>45432</v>
      </c>
      <c r="T122" s="8" t="s">
        <v>630</v>
      </c>
      <c r="U122" s="8" t="s">
        <v>229</v>
      </c>
      <c r="V122" s="8" t="s">
        <v>155</v>
      </c>
      <c r="W122" s="8" t="s">
        <v>156</v>
      </c>
      <c r="X122" s="8" t="s">
        <v>58</v>
      </c>
      <c r="Y122" s="8" t="s">
        <v>58</v>
      </c>
      <c r="Z122" s="8" t="s">
        <v>31</v>
      </c>
      <c r="AB122" s="8" t="s">
        <v>157</v>
      </c>
    </row>
    <row r="123" spans="1:30">
      <c r="A123" s="8">
        <v>122</v>
      </c>
      <c r="B123" s="8" t="s">
        <v>631</v>
      </c>
      <c r="C123" s="8" t="s">
        <v>624</v>
      </c>
      <c r="D123" s="8" t="s">
        <v>625</v>
      </c>
      <c r="E123" s="8">
        <v>5</v>
      </c>
      <c r="F123" s="8" t="str">
        <f t="shared" si="7"/>
        <v>Sub-sub-indicator</v>
      </c>
      <c r="G123" s="8">
        <v>1</v>
      </c>
      <c r="H123" s="8" t="s">
        <v>628</v>
      </c>
      <c r="I123" s="8" t="s">
        <v>235</v>
      </c>
      <c r="J123" s="8" t="str">
        <f t="shared" si="12"/>
        <v>ANTI-CORRUPTION</v>
      </c>
      <c r="K123" s="8" t="str">
        <f t="shared" si="11"/>
        <v>SECURITY &amp; RULE OF LAW</v>
      </c>
      <c r="L123" s="8" t="s">
        <v>236</v>
      </c>
      <c r="M123" s="8" t="s">
        <v>237</v>
      </c>
      <c r="N123" s="8" t="s">
        <v>31</v>
      </c>
      <c r="O123" s="8" t="s">
        <v>31</v>
      </c>
      <c r="P123" s="8" t="s">
        <v>31</v>
      </c>
      <c r="Q123" s="9" t="s">
        <v>632</v>
      </c>
      <c r="R123" s="8" t="s">
        <v>239</v>
      </c>
      <c r="S123" s="10">
        <v>45440</v>
      </c>
      <c r="T123" s="8" t="s">
        <v>633</v>
      </c>
      <c r="U123" s="8" t="s">
        <v>154</v>
      </c>
      <c r="V123" s="8" t="s">
        <v>155</v>
      </c>
      <c r="W123" s="8" t="s">
        <v>241</v>
      </c>
      <c r="X123" s="8" t="s">
        <v>242</v>
      </c>
      <c r="Y123" s="8" t="s">
        <v>58</v>
      </c>
      <c r="Z123" s="8" t="s">
        <v>31</v>
      </c>
      <c r="AA123" s="8" t="s">
        <v>634</v>
      </c>
      <c r="AB123" s="8" t="s">
        <v>244</v>
      </c>
    </row>
    <row r="124" spans="1:30">
      <c r="A124" s="8">
        <v>123</v>
      </c>
      <c r="B124" s="8" t="s">
        <v>635</v>
      </c>
      <c r="C124" s="8" t="s">
        <v>621</v>
      </c>
      <c r="D124" s="8" t="s">
        <v>622</v>
      </c>
      <c r="E124" s="8">
        <v>4</v>
      </c>
      <c r="F124" s="8" t="str">
        <f t="shared" si="7"/>
        <v>Sub-indicator</v>
      </c>
      <c r="G124" s="8">
        <v>0</v>
      </c>
      <c r="H124" s="8" t="s">
        <v>636</v>
      </c>
      <c r="I124" s="8" t="s">
        <v>223</v>
      </c>
      <c r="J124" s="8" t="str">
        <f t="shared" si="12"/>
        <v>ANTI-CORRUPTION</v>
      </c>
      <c r="K124" s="8" t="str">
        <f t="shared" si="11"/>
        <v>SECURITY &amp; RULE OF LAW</v>
      </c>
      <c r="L124" s="8" t="s">
        <v>33</v>
      </c>
      <c r="M124" s="8" t="s">
        <v>31</v>
      </c>
      <c r="N124" s="8" t="s">
        <v>31</v>
      </c>
      <c r="O124" s="8" t="s">
        <v>31</v>
      </c>
      <c r="P124" s="8" t="s">
        <v>31</v>
      </c>
      <c r="Q124" s="9" t="s">
        <v>637</v>
      </c>
      <c r="R124" s="8" t="s">
        <v>31</v>
      </c>
      <c r="S124" s="10" t="s">
        <v>31</v>
      </c>
      <c r="T124" s="8" t="s">
        <v>31</v>
      </c>
      <c r="U124" s="8" t="s">
        <v>31</v>
      </c>
      <c r="V124" s="8" t="s">
        <v>31</v>
      </c>
      <c r="W124" s="8" t="s">
        <v>31</v>
      </c>
      <c r="X124" s="8" t="s">
        <v>31</v>
      </c>
      <c r="Y124" s="8" t="s">
        <v>31</v>
      </c>
      <c r="Z124" s="8" t="s">
        <v>31</v>
      </c>
    </row>
    <row r="125" spans="1:30">
      <c r="A125" s="8">
        <v>124</v>
      </c>
      <c r="B125" s="8" t="s">
        <v>638</v>
      </c>
      <c r="C125" s="8" t="s">
        <v>635</v>
      </c>
      <c r="D125" s="8" t="s">
        <v>636</v>
      </c>
      <c r="E125" s="8">
        <v>5</v>
      </c>
      <c r="F125" s="8" t="str">
        <f t="shared" si="7"/>
        <v>Sub-sub-indicator</v>
      </c>
      <c r="G125" s="8">
        <v>1</v>
      </c>
      <c r="H125" s="8" t="s">
        <v>639</v>
      </c>
      <c r="I125" s="8" t="s">
        <v>149</v>
      </c>
      <c r="J125" s="8" t="str">
        <f t="shared" si="12"/>
        <v>ANTI-CORRUPTION</v>
      </c>
      <c r="K125" s="8" t="str">
        <f t="shared" si="11"/>
        <v>SECURITY &amp; RULE OF LAW</v>
      </c>
      <c r="L125" s="8" t="s">
        <v>150</v>
      </c>
      <c r="M125" s="8" t="s">
        <v>151</v>
      </c>
      <c r="N125" s="8" t="s">
        <v>31</v>
      </c>
      <c r="O125" s="8" t="s">
        <v>31</v>
      </c>
      <c r="P125" s="8" t="s">
        <v>31</v>
      </c>
      <c r="Q125" s="9" t="s">
        <v>640</v>
      </c>
      <c r="R125" s="8" t="s">
        <v>53</v>
      </c>
      <c r="S125" s="10">
        <v>45432</v>
      </c>
      <c r="T125" s="8" t="s">
        <v>641</v>
      </c>
      <c r="U125" s="8" t="s">
        <v>229</v>
      </c>
      <c r="V125" s="8" t="s">
        <v>155</v>
      </c>
      <c r="W125" s="8" t="s">
        <v>156</v>
      </c>
      <c r="X125" s="8" t="s">
        <v>642</v>
      </c>
      <c r="Y125" s="8" t="s">
        <v>58</v>
      </c>
      <c r="Z125" s="8" t="s">
        <v>31</v>
      </c>
      <c r="AB125" s="8" t="s">
        <v>157</v>
      </c>
    </row>
    <row r="126" spans="1:30">
      <c r="A126" s="8">
        <v>125</v>
      </c>
      <c r="B126" s="8" t="s">
        <v>643</v>
      </c>
      <c r="C126" s="8" t="s">
        <v>635</v>
      </c>
      <c r="D126" s="8" t="s">
        <v>636</v>
      </c>
      <c r="E126" s="8">
        <v>5</v>
      </c>
      <c r="F126" s="8" t="str">
        <f t="shared" si="7"/>
        <v>Sub-sub-indicator</v>
      </c>
      <c r="G126" s="8">
        <v>1</v>
      </c>
      <c r="H126" s="8" t="s">
        <v>639</v>
      </c>
      <c r="I126" s="8" t="s">
        <v>235</v>
      </c>
      <c r="J126" s="8" t="str">
        <f t="shared" si="12"/>
        <v>ANTI-CORRUPTION</v>
      </c>
      <c r="K126" s="8" t="str">
        <f t="shared" si="11"/>
        <v>SECURITY &amp; RULE OF LAW</v>
      </c>
      <c r="L126" s="8" t="s">
        <v>236</v>
      </c>
      <c r="M126" s="8" t="s">
        <v>237</v>
      </c>
      <c r="N126" s="8" t="s">
        <v>31</v>
      </c>
      <c r="O126" s="8" t="s">
        <v>31</v>
      </c>
      <c r="P126" s="8" t="s">
        <v>31</v>
      </c>
      <c r="Q126" s="9" t="s">
        <v>644</v>
      </c>
      <c r="R126" s="8" t="s">
        <v>239</v>
      </c>
      <c r="S126" s="10">
        <v>45440</v>
      </c>
      <c r="T126" s="8" t="s">
        <v>645</v>
      </c>
      <c r="U126" s="8" t="s">
        <v>154</v>
      </c>
      <c r="V126" s="8" t="s">
        <v>155</v>
      </c>
      <c r="W126" s="8" t="s">
        <v>241</v>
      </c>
      <c r="X126" s="8" t="s">
        <v>242</v>
      </c>
      <c r="Y126" s="8" t="s">
        <v>58</v>
      </c>
      <c r="Z126" s="8" t="s">
        <v>31</v>
      </c>
      <c r="AA126" s="8" t="s">
        <v>243</v>
      </c>
      <c r="AB126" s="8" t="s">
        <v>244</v>
      </c>
    </row>
    <row r="127" spans="1:30">
      <c r="A127" s="8">
        <v>126</v>
      </c>
      <c r="B127" s="8" t="s">
        <v>646</v>
      </c>
      <c r="C127" s="8" t="s">
        <v>621</v>
      </c>
      <c r="D127" s="8" t="s">
        <v>622</v>
      </c>
      <c r="E127" s="8">
        <v>4</v>
      </c>
      <c r="F127" s="8" t="str">
        <f t="shared" si="7"/>
        <v>Sub-indicator</v>
      </c>
      <c r="G127" s="8">
        <v>0</v>
      </c>
      <c r="H127" s="8" t="s">
        <v>647</v>
      </c>
      <c r="I127" s="8" t="s">
        <v>149</v>
      </c>
      <c r="J127" s="8" t="str">
        <f t="shared" si="12"/>
        <v>ANTI-CORRUPTION</v>
      </c>
      <c r="K127" s="8" t="str">
        <f t="shared" si="11"/>
        <v>SECURITY &amp; RULE OF LAW</v>
      </c>
      <c r="L127" s="8" t="s">
        <v>33</v>
      </c>
      <c r="M127" s="8" t="s">
        <v>31</v>
      </c>
      <c r="N127" s="8" t="s">
        <v>31</v>
      </c>
      <c r="O127" s="8" t="s">
        <v>31</v>
      </c>
      <c r="P127" s="8" t="s">
        <v>31</v>
      </c>
      <c r="Q127" s="9" t="s">
        <v>648</v>
      </c>
      <c r="R127" s="8" t="s">
        <v>31</v>
      </c>
      <c r="S127" s="10" t="s">
        <v>31</v>
      </c>
      <c r="T127" s="8" t="s">
        <v>31</v>
      </c>
      <c r="U127" s="14" t="s">
        <v>31</v>
      </c>
      <c r="V127" s="8" t="s">
        <v>31</v>
      </c>
      <c r="W127" s="8" t="s">
        <v>31</v>
      </c>
      <c r="X127" s="8" t="s">
        <v>31</v>
      </c>
      <c r="Y127" s="8" t="s">
        <v>31</v>
      </c>
      <c r="Z127" s="8" t="s">
        <v>31</v>
      </c>
    </row>
    <row r="128" spans="1:30">
      <c r="A128" s="8">
        <v>127</v>
      </c>
      <c r="B128" s="8" t="s">
        <v>649</v>
      </c>
      <c r="C128" s="8" t="s">
        <v>646</v>
      </c>
      <c r="D128" s="8" t="s">
        <v>647</v>
      </c>
      <c r="E128" s="8">
        <v>5</v>
      </c>
      <c r="F128" s="8" t="str">
        <f t="shared" si="7"/>
        <v>Sub-sub-indicator</v>
      </c>
      <c r="G128" s="8">
        <v>1</v>
      </c>
      <c r="H128" s="8" t="s">
        <v>650</v>
      </c>
      <c r="I128" s="8" t="s">
        <v>149</v>
      </c>
      <c r="J128" s="8" t="str">
        <f t="shared" si="12"/>
        <v>ANTI-CORRUPTION</v>
      </c>
      <c r="K128" s="8" t="str">
        <f t="shared" si="11"/>
        <v>SECURITY &amp; RULE OF LAW</v>
      </c>
      <c r="L128" s="8" t="s">
        <v>150</v>
      </c>
      <c r="M128" s="8" t="s">
        <v>151</v>
      </c>
      <c r="N128" s="8" t="s">
        <v>31</v>
      </c>
      <c r="O128" s="8" t="s">
        <v>31</v>
      </c>
      <c r="P128" s="8" t="s">
        <v>31</v>
      </c>
      <c r="Q128" s="9" t="s">
        <v>651</v>
      </c>
      <c r="R128" s="8" t="s">
        <v>53</v>
      </c>
      <c r="S128" s="10">
        <v>45432</v>
      </c>
      <c r="T128" s="8" t="s">
        <v>652</v>
      </c>
      <c r="U128" s="8" t="s">
        <v>229</v>
      </c>
      <c r="V128" s="8" t="s">
        <v>155</v>
      </c>
      <c r="W128" s="8" t="s">
        <v>156</v>
      </c>
      <c r="X128" s="8" t="s">
        <v>58</v>
      </c>
      <c r="Y128" s="8" t="s">
        <v>58</v>
      </c>
      <c r="Z128" s="8" t="s">
        <v>31</v>
      </c>
      <c r="AB128" s="8" t="s">
        <v>157</v>
      </c>
    </row>
    <row r="129" spans="1:30">
      <c r="A129" s="8">
        <v>128</v>
      </c>
      <c r="B129" s="8" t="s">
        <v>653</v>
      </c>
      <c r="C129" s="8" t="s">
        <v>646</v>
      </c>
      <c r="D129" s="8" t="s">
        <v>647</v>
      </c>
      <c r="E129" s="8">
        <v>5</v>
      </c>
      <c r="F129" s="8" t="str">
        <f t="shared" si="7"/>
        <v>Sub-sub-indicator</v>
      </c>
      <c r="G129" s="8">
        <v>1</v>
      </c>
      <c r="H129" s="8" t="s">
        <v>654</v>
      </c>
      <c r="I129" s="8" t="s">
        <v>149</v>
      </c>
      <c r="J129" s="8" t="str">
        <f t="shared" si="12"/>
        <v>ANTI-CORRUPTION</v>
      </c>
      <c r="K129" s="8" t="str">
        <f t="shared" si="11"/>
        <v>SECURITY &amp; RULE OF LAW</v>
      </c>
      <c r="L129" s="8" t="s">
        <v>150</v>
      </c>
      <c r="M129" s="8" t="s">
        <v>151</v>
      </c>
      <c r="N129" s="8" t="s">
        <v>31</v>
      </c>
      <c r="O129" s="8" t="s">
        <v>31</v>
      </c>
      <c r="P129" s="8" t="s">
        <v>31</v>
      </c>
      <c r="Q129" s="9" t="s">
        <v>655</v>
      </c>
      <c r="R129" s="8" t="s">
        <v>53</v>
      </c>
      <c r="S129" s="10">
        <v>45432</v>
      </c>
      <c r="T129" s="8" t="s">
        <v>656</v>
      </c>
      <c r="U129" s="8" t="s">
        <v>229</v>
      </c>
      <c r="V129" s="8" t="s">
        <v>155</v>
      </c>
      <c r="W129" s="8" t="s">
        <v>156</v>
      </c>
      <c r="X129" s="8" t="s">
        <v>58</v>
      </c>
      <c r="Y129" s="8" t="s">
        <v>58</v>
      </c>
      <c r="Z129" s="8" t="s">
        <v>31</v>
      </c>
      <c r="AB129" s="8" t="s">
        <v>157</v>
      </c>
    </row>
    <row r="130" spans="1:30">
      <c r="A130" s="8">
        <v>129</v>
      </c>
      <c r="B130" s="8" t="s">
        <v>657</v>
      </c>
      <c r="C130" s="8" t="s">
        <v>598</v>
      </c>
      <c r="D130" s="8" t="s">
        <v>599</v>
      </c>
      <c r="E130" s="12">
        <v>3</v>
      </c>
      <c r="F130" s="12" t="str">
        <f t="shared" si="7"/>
        <v>Indicator</v>
      </c>
      <c r="G130" s="8">
        <v>0</v>
      </c>
      <c r="H130" s="12" t="s">
        <v>658</v>
      </c>
      <c r="I130" s="8" t="s">
        <v>659</v>
      </c>
      <c r="J130" s="8" t="str">
        <f t="shared" si="12"/>
        <v>ANTI-CORRUPTION</v>
      </c>
      <c r="K130" s="8" t="str">
        <f t="shared" si="11"/>
        <v>SECURITY &amp; RULE OF LAW</v>
      </c>
      <c r="L130" s="8" t="s">
        <v>33</v>
      </c>
      <c r="M130" s="8" t="s">
        <v>31</v>
      </c>
      <c r="N130" s="8" t="s">
        <v>31</v>
      </c>
      <c r="O130" s="8" t="s">
        <v>31</v>
      </c>
      <c r="P130" s="8" t="s">
        <v>31</v>
      </c>
      <c r="Q130" s="9" t="s">
        <v>660</v>
      </c>
      <c r="R130" s="8" t="s">
        <v>31</v>
      </c>
      <c r="S130" s="10" t="s">
        <v>31</v>
      </c>
      <c r="T130" s="8" t="s">
        <v>31</v>
      </c>
      <c r="U130" s="8" t="s">
        <v>31</v>
      </c>
      <c r="V130" s="8" t="s">
        <v>31</v>
      </c>
      <c r="W130" s="8" t="s">
        <v>31</v>
      </c>
      <c r="X130" s="8" t="s">
        <v>31</v>
      </c>
      <c r="Y130" s="8" t="s">
        <v>31</v>
      </c>
      <c r="Z130" s="8" t="s">
        <v>31</v>
      </c>
    </row>
    <row r="131" spans="1:30">
      <c r="A131" s="8">
        <v>130</v>
      </c>
      <c r="B131" s="8" t="s">
        <v>661</v>
      </c>
      <c r="C131" s="8" t="s">
        <v>657</v>
      </c>
      <c r="D131" s="8" t="s">
        <v>658</v>
      </c>
      <c r="E131" s="8">
        <v>4</v>
      </c>
      <c r="F131" s="8" t="str">
        <f t="shared" ref="F131:F140" si="13">IF(E131=0,"Overall",IF(E131=1,"Category",IF(E131=2,"Sub-category",IF(E131=3,"Indicator",IF(E131=4,"Sub-indicator", "Sub-sub-indicator")))))</f>
        <v>Sub-indicator</v>
      </c>
      <c r="G131" s="8">
        <v>0</v>
      </c>
      <c r="H131" s="8" t="s">
        <v>662</v>
      </c>
      <c r="I131" s="8" t="s">
        <v>663</v>
      </c>
      <c r="J131" s="8" t="str">
        <f t="shared" si="12"/>
        <v>ANTI-CORRUPTION</v>
      </c>
      <c r="K131" s="8" t="str">
        <f t="shared" si="11"/>
        <v>SECURITY &amp; RULE OF LAW</v>
      </c>
      <c r="L131" s="8" t="s">
        <v>33</v>
      </c>
      <c r="M131" s="8" t="s">
        <v>31</v>
      </c>
      <c r="N131" s="8" t="s">
        <v>31</v>
      </c>
      <c r="O131" s="8" t="s">
        <v>31</v>
      </c>
      <c r="P131" s="8" t="s">
        <v>31</v>
      </c>
      <c r="Q131" s="8" t="s">
        <v>664</v>
      </c>
      <c r="R131" s="8" t="s">
        <v>31</v>
      </c>
      <c r="S131" s="10" t="s">
        <v>31</v>
      </c>
      <c r="T131" s="8" t="s">
        <v>31</v>
      </c>
      <c r="U131" s="8" t="s">
        <v>31</v>
      </c>
      <c r="V131" s="8" t="s">
        <v>31</v>
      </c>
      <c r="W131" s="8" t="s">
        <v>31</v>
      </c>
      <c r="X131" s="8" t="s">
        <v>31</v>
      </c>
      <c r="Y131" s="8" t="s">
        <v>31</v>
      </c>
      <c r="Z131" s="8" t="s">
        <v>31</v>
      </c>
    </row>
    <row r="132" spans="1:30">
      <c r="A132" s="8">
        <v>131</v>
      </c>
      <c r="B132" s="8" t="s">
        <v>665</v>
      </c>
      <c r="C132" s="8" t="s">
        <v>661</v>
      </c>
      <c r="D132" s="8" t="s">
        <v>662</v>
      </c>
      <c r="E132" s="8">
        <v>5</v>
      </c>
      <c r="F132" s="8" t="str">
        <f t="shared" si="13"/>
        <v>Sub-sub-indicator</v>
      </c>
      <c r="G132" s="8">
        <v>1</v>
      </c>
      <c r="H132" s="8" t="s">
        <v>666</v>
      </c>
      <c r="I132" s="8" t="s">
        <v>367</v>
      </c>
      <c r="J132" s="8" t="str">
        <f t="shared" si="12"/>
        <v>ANTI-CORRUPTION</v>
      </c>
      <c r="K132" s="8" t="str">
        <f t="shared" si="11"/>
        <v>SECURITY &amp; RULE OF LAW</v>
      </c>
      <c r="L132" s="8" t="s">
        <v>368</v>
      </c>
      <c r="M132" s="8" t="s">
        <v>369</v>
      </c>
      <c r="N132" s="8" t="s">
        <v>31</v>
      </c>
      <c r="O132" s="8" t="s">
        <v>31</v>
      </c>
      <c r="P132" s="8" t="s">
        <v>31</v>
      </c>
      <c r="Q132" s="8" t="s">
        <v>667</v>
      </c>
      <c r="R132" s="8" t="s">
        <v>53</v>
      </c>
      <c r="S132" s="10">
        <v>45484</v>
      </c>
      <c r="T132" s="8" t="s">
        <v>668</v>
      </c>
      <c r="U132" s="8" t="s">
        <v>372</v>
      </c>
      <c r="V132" s="8" t="s">
        <v>155</v>
      </c>
      <c r="W132" s="8" t="s">
        <v>373</v>
      </c>
      <c r="X132" s="8" t="s">
        <v>374</v>
      </c>
      <c r="Y132" s="8" t="s">
        <v>375</v>
      </c>
      <c r="Z132" s="8" t="s">
        <v>31</v>
      </c>
      <c r="AA132" s="8" t="s">
        <v>376</v>
      </c>
    </row>
    <row r="133" spans="1:30">
      <c r="A133" s="8">
        <v>132</v>
      </c>
      <c r="B133" s="8" t="s">
        <v>669</v>
      </c>
      <c r="C133" s="8" t="s">
        <v>661</v>
      </c>
      <c r="D133" s="8" t="s">
        <v>662</v>
      </c>
      <c r="E133" s="8">
        <v>5</v>
      </c>
      <c r="F133" s="8" t="str">
        <f t="shared" si="13"/>
        <v>Sub-sub-indicator</v>
      </c>
      <c r="G133" s="8">
        <v>1</v>
      </c>
      <c r="H133" s="8" t="s">
        <v>670</v>
      </c>
      <c r="I133" s="8" t="s">
        <v>149</v>
      </c>
      <c r="J133" s="8" t="str">
        <f t="shared" si="12"/>
        <v>ANTI-CORRUPTION</v>
      </c>
      <c r="K133" s="8" t="str">
        <f t="shared" si="11"/>
        <v>SECURITY &amp; RULE OF LAW</v>
      </c>
      <c r="L133" s="8" t="s">
        <v>150</v>
      </c>
      <c r="M133" s="8" t="s">
        <v>151</v>
      </c>
      <c r="N133" s="8" t="s">
        <v>31</v>
      </c>
      <c r="O133" s="8" t="s">
        <v>31</v>
      </c>
      <c r="P133" s="8" t="s">
        <v>31</v>
      </c>
      <c r="Q133" s="9" t="s">
        <v>671</v>
      </c>
      <c r="R133" s="8" t="s">
        <v>53</v>
      </c>
      <c r="S133" s="10">
        <v>45432</v>
      </c>
      <c r="T133" s="8" t="s">
        <v>672</v>
      </c>
      <c r="U133" s="14" t="s">
        <v>229</v>
      </c>
      <c r="V133" s="8" t="s">
        <v>155</v>
      </c>
      <c r="W133" s="8" t="s">
        <v>156</v>
      </c>
      <c r="X133" s="8" t="s">
        <v>58</v>
      </c>
      <c r="Y133" s="8" t="s">
        <v>58</v>
      </c>
      <c r="Z133" s="8" t="s">
        <v>31</v>
      </c>
      <c r="AB133" s="8" t="s">
        <v>157</v>
      </c>
    </row>
    <row r="134" spans="1:30">
      <c r="A134" s="8">
        <v>133</v>
      </c>
      <c r="B134" s="8" t="s">
        <v>673</v>
      </c>
      <c r="C134" s="8" t="s">
        <v>657</v>
      </c>
      <c r="D134" s="8" t="s">
        <v>658</v>
      </c>
      <c r="E134" s="8">
        <v>4</v>
      </c>
      <c r="F134" s="8" t="str">
        <f t="shared" si="13"/>
        <v>Sub-indicator</v>
      </c>
      <c r="G134" s="8">
        <v>0</v>
      </c>
      <c r="H134" s="8" t="s">
        <v>674</v>
      </c>
      <c r="I134" s="8" t="s">
        <v>223</v>
      </c>
      <c r="J134" s="8" t="str">
        <f t="shared" si="12"/>
        <v>ANTI-CORRUPTION</v>
      </c>
      <c r="K134" s="8" t="str">
        <f t="shared" si="11"/>
        <v>SECURITY &amp; RULE OF LAW</v>
      </c>
      <c r="L134" s="8" t="s">
        <v>33</v>
      </c>
      <c r="M134" s="8" t="s">
        <v>31</v>
      </c>
      <c r="N134" s="8" t="s">
        <v>31</v>
      </c>
      <c r="O134" s="8" t="s">
        <v>31</v>
      </c>
      <c r="P134" s="8" t="s">
        <v>31</v>
      </c>
      <c r="Q134" s="9" t="s">
        <v>675</v>
      </c>
      <c r="R134" s="8" t="s">
        <v>31</v>
      </c>
      <c r="S134" s="10" t="s">
        <v>31</v>
      </c>
      <c r="T134" s="8" t="s">
        <v>31</v>
      </c>
      <c r="U134" s="14" t="s">
        <v>31</v>
      </c>
      <c r="V134" s="8" t="s">
        <v>31</v>
      </c>
      <c r="W134" s="8" t="s">
        <v>31</v>
      </c>
      <c r="X134" s="8" t="s">
        <v>31</v>
      </c>
      <c r="Y134" s="8" t="s">
        <v>31</v>
      </c>
      <c r="Z134" s="8" t="s">
        <v>31</v>
      </c>
    </row>
    <row r="135" spans="1:30">
      <c r="A135" s="8">
        <v>134</v>
      </c>
      <c r="B135" s="8" t="s">
        <v>676</v>
      </c>
      <c r="C135" s="8" t="s">
        <v>673</v>
      </c>
      <c r="D135" s="8" t="s">
        <v>674</v>
      </c>
      <c r="E135" s="8">
        <v>5</v>
      </c>
      <c r="F135" s="8" t="str">
        <f t="shared" si="13"/>
        <v>Sub-sub-indicator</v>
      </c>
      <c r="G135" s="8">
        <v>1</v>
      </c>
      <c r="H135" s="8" t="s">
        <v>677</v>
      </c>
      <c r="I135" s="8" t="s">
        <v>235</v>
      </c>
      <c r="J135" s="8" t="str">
        <f t="shared" si="12"/>
        <v>ANTI-CORRUPTION</v>
      </c>
      <c r="K135" s="8" t="str">
        <f t="shared" si="11"/>
        <v>SECURITY &amp; RULE OF LAW</v>
      </c>
      <c r="L135" s="8" t="s">
        <v>236</v>
      </c>
      <c r="M135" s="8" t="s">
        <v>237</v>
      </c>
      <c r="N135" s="8" t="s">
        <v>31</v>
      </c>
      <c r="O135" s="8" t="s">
        <v>31</v>
      </c>
      <c r="P135" s="8" t="s">
        <v>31</v>
      </c>
      <c r="Q135" s="9" t="s">
        <v>678</v>
      </c>
      <c r="R135" s="8" t="s">
        <v>390</v>
      </c>
      <c r="S135" s="10">
        <v>45461</v>
      </c>
      <c r="T135" s="8" t="s">
        <v>679</v>
      </c>
      <c r="U135" s="14" t="s">
        <v>154</v>
      </c>
      <c r="V135" s="8" t="s">
        <v>155</v>
      </c>
      <c r="W135" s="8" t="s">
        <v>241</v>
      </c>
      <c r="X135" s="8" t="s">
        <v>242</v>
      </c>
      <c r="Y135" s="8" t="s">
        <v>58</v>
      </c>
      <c r="Z135" s="8" t="s">
        <v>31</v>
      </c>
      <c r="AA135" s="8" t="s">
        <v>680</v>
      </c>
      <c r="AB135" s="8" t="s">
        <v>244</v>
      </c>
      <c r="AC135" s="8" t="s">
        <v>681</v>
      </c>
    </row>
    <row r="136" spans="1:30">
      <c r="A136" s="8">
        <v>135</v>
      </c>
      <c r="B136" s="8" t="s">
        <v>682</v>
      </c>
      <c r="C136" s="8" t="s">
        <v>673</v>
      </c>
      <c r="D136" s="8" t="s">
        <v>674</v>
      </c>
      <c r="E136" s="8">
        <v>5</v>
      </c>
      <c r="F136" s="8" t="str">
        <f t="shared" si="13"/>
        <v>Sub-sub-indicator</v>
      </c>
      <c r="G136" s="8">
        <v>1</v>
      </c>
      <c r="H136" s="8" t="s">
        <v>683</v>
      </c>
      <c r="I136" s="8" t="s">
        <v>235</v>
      </c>
      <c r="J136" s="8" t="str">
        <f t="shared" si="12"/>
        <v>ANTI-CORRUPTION</v>
      </c>
      <c r="K136" s="8" t="str">
        <f t="shared" si="11"/>
        <v>SECURITY &amp; RULE OF LAW</v>
      </c>
      <c r="L136" s="8" t="s">
        <v>236</v>
      </c>
      <c r="M136" s="8" t="s">
        <v>237</v>
      </c>
      <c r="N136" s="8" t="s">
        <v>31</v>
      </c>
      <c r="O136" s="8" t="s">
        <v>31</v>
      </c>
      <c r="P136" s="8" t="s">
        <v>31</v>
      </c>
      <c r="Q136" s="9" t="s">
        <v>684</v>
      </c>
      <c r="R136" s="8" t="s">
        <v>239</v>
      </c>
      <c r="S136" s="10">
        <v>45440</v>
      </c>
      <c r="T136" s="8" t="s">
        <v>685</v>
      </c>
      <c r="U136" s="14" t="s">
        <v>154</v>
      </c>
      <c r="V136" s="8" t="s">
        <v>155</v>
      </c>
      <c r="W136" s="8" t="s">
        <v>241</v>
      </c>
      <c r="X136" s="8" t="s">
        <v>242</v>
      </c>
      <c r="Y136" s="8" t="s">
        <v>58</v>
      </c>
      <c r="Z136" s="8" t="s">
        <v>31</v>
      </c>
      <c r="AA136" s="8" t="s">
        <v>243</v>
      </c>
      <c r="AB136" s="8" t="s">
        <v>244</v>
      </c>
    </row>
    <row r="137" spans="1:30">
      <c r="A137" s="8">
        <v>136</v>
      </c>
      <c r="B137" s="8" t="s">
        <v>686</v>
      </c>
      <c r="C137" s="8" t="s">
        <v>673</v>
      </c>
      <c r="D137" s="8" t="s">
        <v>674</v>
      </c>
      <c r="E137" s="8">
        <v>5</v>
      </c>
      <c r="F137" s="8" t="str">
        <f t="shared" si="13"/>
        <v>Sub-sub-indicator</v>
      </c>
      <c r="G137" s="8">
        <v>1</v>
      </c>
      <c r="H137" s="8" t="s">
        <v>687</v>
      </c>
      <c r="I137" s="8" t="s">
        <v>149</v>
      </c>
      <c r="J137" s="8" t="str">
        <f t="shared" si="12"/>
        <v>ANTI-CORRUPTION</v>
      </c>
      <c r="K137" s="8" t="str">
        <f t="shared" si="11"/>
        <v>SECURITY &amp; RULE OF LAW</v>
      </c>
      <c r="L137" s="8" t="s">
        <v>150</v>
      </c>
      <c r="M137" s="8" t="s">
        <v>151</v>
      </c>
      <c r="N137" s="8" t="s">
        <v>31</v>
      </c>
      <c r="O137" s="8" t="s">
        <v>31</v>
      </c>
      <c r="P137" s="8" t="s">
        <v>31</v>
      </c>
      <c r="Q137" s="9" t="s">
        <v>688</v>
      </c>
      <c r="R137" s="8" t="s">
        <v>53</v>
      </c>
      <c r="S137" s="10">
        <v>45432</v>
      </c>
      <c r="T137" s="8" t="s">
        <v>689</v>
      </c>
      <c r="U137" s="14" t="s">
        <v>229</v>
      </c>
      <c r="V137" s="8" t="s">
        <v>155</v>
      </c>
      <c r="W137" s="8" t="s">
        <v>156</v>
      </c>
      <c r="X137" s="8" t="s">
        <v>58</v>
      </c>
      <c r="Y137" s="8" t="s">
        <v>58</v>
      </c>
      <c r="Z137" s="8" t="s">
        <v>31</v>
      </c>
      <c r="AB137" s="8" t="s">
        <v>157</v>
      </c>
    </row>
    <row r="138" spans="1:30">
      <c r="A138" s="8">
        <v>137</v>
      </c>
      <c r="B138" s="8" t="s">
        <v>690</v>
      </c>
      <c r="C138" s="8" t="s">
        <v>598</v>
      </c>
      <c r="D138" s="8" t="s">
        <v>599</v>
      </c>
      <c r="E138" s="12">
        <v>3</v>
      </c>
      <c r="F138" s="12" t="str">
        <f t="shared" si="13"/>
        <v>Indicator</v>
      </c>
      <c r="G138" s="8">
        <v>0</v>
      </c>
      <c r="H138" s="12" t="s">
        <v>691</v>
      </c>
      <c r="I138" s="8" t="s">
        <v>525</v>
      </c>
      <c r="J138" s="8" t="str">
        <f t="shared" si="12"/>
        <v>ANTI-CORRUPTION</v>
      </c>
      <c r="K138" s="8" t="str">
        <f t="shared" si="11"/>
        <v>SECURITY &amp; RULE OF LAW</v>
      </c>
      <c r="L138" s="8" t="s">
        <v>33</v>
      </c>
      <c r="M138" s="8" t="s">
        <v>31</v>
      </c>
      <c r="N138" s="8" t="s">
        <v>31</v>
      </c>
      <c r="O138" s="8" t="s">
        <v>31</v>
      </c>
      <c r="P138" s="8" t="s">
        <v>31</v>
      </c>
      <c r="Q138" s="9" t="s">
        <v>692</v>
      </c>
      <c r="R138" s="8" t="s">
        <v>31</v>
      </c>
      <c r="S138" s="10" t="s">
        <v>31</v>
      </c>
      <c r="T138" s="8" t="s">
        <v>31</v>
      </c>
      <c r="U138" s="8" t="s">
        <v>31</v>
      </c>
      <c r="V138" s="19" t="s">
        <v>31</v>
      </c>
      <c r="W138" s="8" t="s">
        <v>31</v>
      </c>
      <c r="X138" s="8" t="s">
        <v>31</v>
      </c>
      <c r="Y138" s="8" t="s">
        <v>31</v>
      </c>
      <c r="Z138" s="8" t="s">
        <v>31</v>
      </c>
    </row>
    <row r="139" spans="1:30">
      <c r="A139" s="8">
        <v>138</v>
      </c>
      <c r="B139" s="8" t="s">
        <v>693</v>
      </c>
      <c r="C139" s="8" t="s">
        <v>690</v>
      </c>
      <c r="D139" s="8" t="s">
        <v>691</v>
      </c>
      <c r="E139" s="8">
        <v>4</v>
      </c>
      <c r="F139" s="8" t="str">
        <f t="shared" si="13"/>
        <v>Sub-indicator</v>
      </c>
      <c r="G139" s="8">
        <v>1</v>
      </c>
      <c r="H139" s="8" t="s">
        <v>694</v>
      </c>
      <c r="I139" s="8" t="s">
        <v>267</v>
      </c>
      <c r="J139" s="8" t="str">
        <f t="shared" si="12"/>
        <v>ANTI-CORRUPTION</v>
      </c>
      <c r="K139" s="8" t="str">
        <f t="shared" si="11"/>
        <v>SECURITY &amp; RULE OF LAW</v>
      </c>
      <c r="L139" s="8" t="s">
        <v>268</v>
      </c>
      <c r="M139" s="8" t="s">
        <v>269</v>
      </c>
      <c r="N139" s="8" t="s">
        <v>31</v>
      </c>
      <c r="O139" s="8" t="s">
        <v>31</v>
      </c>
      <c r="P139" s="8" t="s">
        <v>31</v>
      </c>
      <c r="Q139" s="9" t="s">
        <v>695</v>
      </c>
      <c r="R139" s="8" t="s">
        <v>53</v>
      </c>
      <c r="S139" s="13">
        <v>45481</v>
      </c>
      <c r="T139" s="8" t="s">
        <v>696</v>
      </c>
      <c r="U139" s="8" t="s">
        <v>196</v>
      </c>
      <c r="V139" s="8" t="s">
        <v>155</v>
      </c>
      <c r="W139" s="8" t="s">
        <v>272</v>
      </c>
      <c r="X139" s="8" t="s">
        <v>58</v>
      </c>
      <c r="Y139" s="8" t="s">
        <v>58</v>
      </c>
      <c r="Z139" s="8" t="s">
        <v>31</v>
      </c>
      <c r="AA139" s="8" t="s">
        <v>273</v>
      </c>
    </row>
    <row r="140" spans="1:30">
      <c r="A140" s="8">
        <v>139</v>
      </c>
      <c r="B140" s="8" t="s">
        <v>697</v>
      </c>
      <c r="C140" s="8" t="s">
        <v>690</v>
      </c>
      <c r="D140" s="8" t="s">
        <v>691</v>
      </c>
      <c r="E140" s="8">
        <v>4</v>
      </c>
      <c r="F140" s="8" t="str">
        <f t="shared" si="13"/>
        <v>Sub-indicator</v>
      </c>
      <c r="G140" s="8">
        <v>1</v>
      </c>
      <c r="H140" s="8" t="s">
        <v>698</v>
      </c>
      <c r="I140" s="8" t="s">
        <v>267</v>
      </c>
      <c r="J140" s="8" t="str">
        <f t="shared" si="12"/>
        <v>ANTI-CORRUPTION</v>
      </c>
      <c r="K140" s="8" t="str">
        <f t="shared" si="11"/>
        <v>SECURITY &amp; RULE OF LAW</v>
      </c>
      <c r="L140" s="8" t="s">
        <v>268</v>
      </c>
      <c r="M140" s="8" t="s">
        <v>269</v>
      </c>
      <c r="N140" s="8" t="s">
        <v>31</v>
      </c>
      <c r="O140" s="8" t="s">
        <v>31</v>
      </c>
      <c r="P140" s="8" t="s">
        <v>31</v>
      </c>
      <c r="Q140" s="9" t="s">
        <v>699</v>
      </c>
      <c r="R140" s="8" t="s">
        <v>53</v>
      </c>
      <c r="S140" s="10">
        <v>45481</v>
      </c>
      <c r="T140" s="8" t="s">
        <v>700</v>
      </c>
      <c r="U140" s="8" t="s">
        <v>196</v>
      </c>
      <c r="V140" s="8" t="s">
        <v>155</v>
      </c>
      <c r="W140" s="8" t="s">
        <v>272</v>
      </c>
      <c r="X140" s="8" t="s">
        <v>58</v>
      </c>
      <c r="Y140" s="8" t="s">
        <v>58</v>
      </c>
      <c r="Z140" s="8" t="s">
        <v>31</v>
      </c>
      <c r="AA140" s="8" t="s">
        <v>273</v>
      </c>
      <c r="AB140" s="20"/>
      <c r="AC140" s="20"/>
      <c r="AD140" s="20"/>
    </row>
    <row r="141" spans="1:30">
      <c r="A141" s="8">
        <v>140</v>
      </c>
      <c r="B141" s="8" t="s">
        <v>701</v>
      </c>
      <c r="C141" s="8" t="s">
        <v>690</v>
      </c>
      <c r="D141" s="8" t="s">
        <v>691</v>
      </c>
      <c r="E141" s="8">
        <v>4</v>
      </c>
      <c r="F141" s="8" t="s">
        <v>136</v>
      </c>
      <c r="G141" s="8">
        <v>1</v>
      </c>
      <c r="H141" s="8" t="s">
        <v>702</v>
      </c>
      <c r="I141" s="8" t="s">
        <v>235</v>
      </c>
      <c r="J141" s="8" t="str">
        <f t="shared" si="12"/>
        <v>ANTI-CORRUPTION</v>
      </c>
      <c r="K141" s="8" t="str">
        <f t="shared" si="11"/>
        <v>SECURITY &amp; RULE OF LAW</v>
      </c>
      <c r="L141" s="8" t="s">
        <v>236</v>
      </c>
      <c r="M141" s="8" t="s">
        <v>237</v>
      </c>
      <c r="N141" s="8" t="s">
        <v>31</v>
      </c>
      <c r="O141" s="8" t="s">
        <v>31</v>
      </c>
      <c r="P141" s="8" t="s">
        <v>31</v>
      </c>
      <c r="Q141" s="9" t="s">
        <v>703</v>
      </c>
      <c r="R141" s="8" t="s">
        <v>239</v>
      </c>
      <c r="S141" s="10">
        <v>45461</v>
      </c>
      <c r="T141" s="8" t="s">
        <v>704</v>
      </c>
      <c r="U141" s="8" t="s">
        <v>154</v>
      </c>
      <c r="V141" s="8" t="s">
        <v>155</v>
      </c>
      <c r="W141" s="8" t="s">
        <v>241</v>
      </c>
      <c r="X141" s="8" t="s">
        <v>242</v>
      </c>
      <c r="Y141" s="8" t="s">
        <v>58</v>
      </c>
      <c r="Z141" s="8" t="s">
        <v>31</v>
      </c>
      <c r="AA141" s="8" t="s">
        <v>705</v>
      </c>
      <c r="AB141" s="8" t="s">
        <v>244</v>
      </c>
      <c r="AC141" s="8" t="s">
        <v>706</v>
      </c>
    </row>
    <row r="142" spans="1:30">
      <c r="A142" s="8">
        <v>141</v>
      </c>
      <c r="B142" s="8" t="s">
        <v>707</v>
      </c>
      <c r="C142" s="8" t="s">
        <v>598</v>
      </c>
      <c r="D142" s="8" t="s">
        <v>599</v>
      </c>
      <c r="E142" s="12">
        <v>3</v>
      </c>
      <c r="F142" s="12" t="str">
        <f t="shared" ref="F142:F216" si="14">IF(E142=0,"Overall",IF(E142=1,"Category",IF(E142=2,"Sub-category",IF(E142=3,"Indicator",IF(E142=4,"Sub-indicator", "Sub-sub-indicator")))))</f>
        <v>Indicator</v>
      </c>
      <c r="G142" s="8">
        <v>0</v>
      </c>
      <c r="H142" s="12" t="s">
        <v>708</v>
      </c>
      <c r="I142" s="8" t="s">
        <v>709</v>
      </c>
      <c r="J142" s="8" t="str">
        <f t="shared" si="12"/>
        <v>ANTI-CORRUPTION</v>
      </c>
      <c r="K142" s="8" t="str">
        <f t="shared" si="11"/>
        <v>SECURITY &amp; RULE OF LAW</v>
      </c>
      <c r="L142" s="8" t="s">
        <v>33</v>
      </c>
      <c r="M142" s="8" t="s">
        <v>31</v>
      </c>
      <c r="N142" s="8" t="s">
        <v>31</v>
      </c>
      <c r="O142" s="8" t="s">
        <v>31</v>
      </c>
      <c r="P142" s="8" t="s">
        <v>31</v>
      </c>
      <c r="Q142" s="9" t="s">
        <v>710</v>
      </c>
      <c r="R142" s="8" t="s">
        <v>31</v>
      </c>
      <c r="S142" s="10" t="s">
        <v>31</v>
      </c>
      <c r="T142" s="8" t="s">
        <v>31</v>
      </c>
      <c r="U142" s="8" t="s">
        <v>31</v>
      </c>
      <c r="V142" s="8" t="s">
        <v>31</v>
      </c>
      <c r="W142" s="8" t="s">
        <v>31</v>
      </c>
      <c r="X142" s="8" t="s">
        <v>31</v>
      </c>
      <c r="Y142" s="8" t="s">
        <v>31</v>
      </c>
      <c r="Z142" s="8" t="s">
        <v>31</v>
      </c>
    </row>
    <row r="143" spans="1:30">
      <c r="A143" s="8">
        <v>142</v>
      </c>
      <c r="B143" s="8" t="s">
        <v>711</v>
      </c>
      <c r="C143" s="8" t="s">
        <v>707</v>
      </c>
      <c r="D143" s="8" t="s">
        <v>708</v>
      </c>
      <c r="E143" s="8">
        <v>4</v>
      </c>
      <c r="F143" s="8" t="str">
        <f t="shared" si="14"/>
        <v>Sub-indicator</v>
      </c>
      <c r="G143" s="8">
        <v>1</v>
      </c>
      <c r="H143" s="8" t="s">
        <v>712</v>
      </c>
      <c r="I143" s="8" t="s">
        <v>367</v>
      </c>
      <c r="J143" s="8" t="str">
        <f t="shared" si="12"/>
        <v>ANTI-CORRUPTION</v>
      </c>
      <c r="K143" s="8" t="str">
        <f t="shared" si="11"/>
        <v>SECURITY &amp; RULE OF LAW</v>
      </c>
      <c r="L143" s="8" t="s">
        <v>368</v>
      </c>
      <c r="M143" s="8" t="s">
        <v>369</v>
      </c>
      <c r="N143" s="8" t="s">
        <v>31</v>
      </c>
      <c r="O143" s="8" t="s">
        <v>31</v>
      </c>
      <c r="P143" s="8" t="s">
        <v>31</v>
      </c>
      <c r="Q143" s="9" t="s">
        <v>713</v>
      </c>
      <c r="R143" s="8" t="s">
        <v>53</v>
      </c>
      <c r="S143" s="10">
        <v>45484</v>
      </c>
      <c r="T143" s="8" t="s">
        <v>714</v>
      </c>
      <c r="U143" s="8" t="s">
        <v>372</v>
      </c>
      <c r="V143" s="8" t="s">
        <v>155</v>
      </c>
      <c r="W143" s="8" t="s">
        <v>373</v>
      </c>
      <c r="X143" s="8" t="s">
        <v>374</v>
      </c>
      <c r="Y143" s="8" t="s">
        <v>375</v>
      </c>
      <c r="Z143" s="8" t="s">
        <v>31</v>
      </c>
      <c r="AA143" s="8" t="s">
        <v>715</v>
      </c>
      <c r="AB143" s="8" t="s">
        <v>716</v>
      </c>
    </row>
    <row r="144" spans="1:30">
      <c r="A144" s="8">
        <v>143</v>
      </c>
      <c r="B144" s="8" t="s">
        <v>717</v>
      </c>
      <c r="C144" s="8" t="s">
        <v>707</v>
      </c>
      <c r="D144" s="8" t="s">
        <v>708</v>
      </c>
      <c r="E144" s="8">
        <v>4</v>
      </c>
      <c r="F144" s="8" t="str">
        <f t="shared" si="14"/>
        <v>Sub-indicator</v>
      </c>
      <c r="G144" s="8">
        <v>1</v>
      </c>
      <c r="H144" s="8" t="s">
        <v>718</v>
      </c>
      <c r="I144" s="8" t="s">
        <v>719</v>
      </c>
      <c r="J144" s="8" t="str">
        <f t="shared" si="12"/>
        <v>ANTI-CORRUPTION</v>
      </c>
      <c r="K144" s="8" t="str">
        <f t="shared" si="11"/>
        <v>SECURITY &amp; RULE OF LAW</v>
      </c>
      <c r="L144" s="8" t="s">
        <v>720</v>
      </c>
      <c r="M144" s="8" t="s">
        <v>721</v>
      </c>
      <c r="N144" s="8" t="s">
        <v>722</v>
      </c>
      <c r="O144" s="8" t="s">
        <v>31</v>
      </c>
      <c r="P144" s="8" t="s">
        <v>31</v>
      </c>
      <c r="Q144" s="9" t="s">
        <v>723</v>
      </c>
      <c r="R144" s="8" t="s">
        <v>97</v>
      </c>
      <c r="S144" s="10">
        <v>45462</v>
      </c>
      <c r="T144" s="8" t="s">
        <v>724</v>
      </c>
      <c r="U144" s="8" t="s">
        <v>154</v>
      </c>
      <c r="V144" s="8" t="s">
        <v>155</v>
      </c>
      <c r="W144" s="8" t="s">
        <v>725</v>
      </c>
      <c r="X144" s="8" t="s">
        <v>58</v>
      </c>
      <c r="Y144" s="8" t="s">
        <v>58</v>
      </c>
      <c r="Z144" s="8" t="s">
        <v>31</v>
      </c>
      <c r="AA144" s="8" t="s">
        <v>31</v>
      </c>
    </row>
    <row r="145" spans="1:28">
      <c r="A145" s="8">
        <v>144</v>
      </c>
      <c r="B145" s="8" t="s">
        <v>726</v>
      </c>
      <c r="C145" s="8" t="s">
        <v>598</v>
      </c>
      <c r="D145" s="8" t="s">
        <v>599</v>
      </c>
      <c r="E145" s="12">
        <v>3</v>
      </c>
      <c r="F145" s="12" t="str">
        <f t="shared" si="14"/>
        <v>Indicator</v>
      </c>
      <c r="G145" s="8">
        <v>0</v>
      </c>
      <c r="H145" s="12" t="s">
        <v>727</v>
      </c>
      <c r="I145" s="8" t="s">
        <v>188</v>
      </c>
      <c r="J145" s="8" t="str">
        <f t="shared" si="12"/>
        <v>ANTI-CORRUPTION</v>
      </c>
      <c r="K145" s="8" t="str">
        <f t="shared" si="11"/>
        <v>SECURITY &amp; RULE OF LAW</v>
      </c>
      <c r="L145" s="8" t="s">
        <v>33</v>
      </c>
      <c r="M145" s="8" t="s">
        <v>31</v>
      </c>
      <c r="N145" s="8" t="s">
        <v>31</v>
      </c>
      <c r="O145" s="8" t="s">
        <v>31</v>
      </c>
      <c r="P145" s="8" t="s">
        <v>31</v>
      </c>
      <c r="Q145" s="9" t="s">
        <v>728</v>
      </c>
      <c r="R145" s="8" t="s">
        <v>31</v>
      </c>
      <c r="S145" s="10" t="s">
        <v>31</v>
      </c>
      <c r="T145" s="8" t="s">
        <v>31</v>
      </c>
      <c r="U145" s="8" t="s">
        <v>31</v>
      </c>
      <c r="V145" s="8" t="s">
        <v>31</v>
      </c>
      <c r="W145" s="8" t="s">
        <v>31</v>
      </c>
      <c r="X145" s="8" t="s">
        <v>31</v>
      </c>
      <c r="Y145" s="8" t="s">
        <v>31</v>
      </c>
      <c r="Z145" s="8" t="s">
        <v>31</v>
      </c>
    </row>
    <row r="146" spans="1:28">
      <c r="A146" s="8">
        <v>145</v>
      </c>
      <c r="B146" s="8" t="s">
        <v>729</v>
      </c>
      <c r="C146" s="8" t="s">
        <v>726</v>
      </c>
      <c r="D146" s="8" t="s">
        <v>727</v>
      </c>
      <c r="E146" s="8">
        <v>4</v>
      </c>
      <c r="F146" s="8" t="str">
        <f t="shared" si="14"/>
        <v>Sub-indicator</v>
      </c>
      <c r="G146" s="8">
        <v>0</v>
      </c>
      <c r="H146" s="8" t="s">
        <v>730</v>
      </c>
      <c r="I146" s="8" t="s">
        <v>188</v>
      </c>
      <c r="J146" s="8" t="str">
        <f t="shared" si="12"/>
        <v>ANTI-CORRUPTION</v>
      </c>
      <c r="K146" s="8" t="str">
        <f t="shared" si="11"/>
        <v>SECURITY &amp; RULE OF LAW</v>
      </c>
      <c r="L146" s="8" t="s">
        <v>33</v>
      </c>
      <c r="M146" s="8" t="s">
        <v>31</v>
      </c>
      <c r="N146" s="8" t="s">
        <v>31</v>
      </c>
      <c r="O146" s="8" t="s">
        <v>31</v>
      </c>
      <c r="P146" s="8" t="s">
        <v>31</v>
      </c>
      <c r="Q146" s="9" t="s">
        <v>731</v>
      </c>
      <c r="R146" s="8" t="s">
        <v>31</v>
      </c>
      <c r="S146" s="10" t="s">
        <v>31</v>
      </c>
      <c r="T146" s="8" t="s">
        <v>31</v>
      </c>
      <c r="U146" s="8" t="s">
        <v>31</v>
      </c>
      <c r="V146" s="8" t="s">
        <v>31</v>
      </c>
      <c r="W146" s="8" t="s">
        <v>31</v>
      </c>
      <c r="X146" s="8" t="s">
        <v>31</v>
      </c>
      <c r="Y146" s="8" t="s">
        <v>31</v>
      </c>
      <c r="Z146" s="8" t="s">
        <v>31</v>
      </c>
    </row>
    <row r="147" spans="1:28">
      <c r="A147" s="8">
        <v>146</v>
      </c>
      <c r="B147" s="8" t="s">
        <v>732</v>
      </c>
      <c r="C147" s="8" t="s">
        <v>729</v>
      </c>
      <c r="D147" s="8" t="s">
        <v>730</v>
      </c>
      <c r="E147" s="8">
        <v>5</v>
      </c>
      <c r="F147" s="8" t="str">
        <f t="shared" si="14"/>
        <v>Sub-sub-indicator</v>
      </c>
      <c r="G147" s="8">
        <v>1</v>
      </c>
      <c r="H147" s="8" t="s">
        <v>733</v>
      </c>
      <c r="I147" s="8" t="s">
        <v>188</v>
      </c>
      <c r="J147" s="8" t="str">
        <f t="shared" si="12"/>
        <v>ANTI-CORRUPTION</v>
      </c>
      <c r="K147" s="8" t="str">
        <f t="shared" si="11"/>
        <v>SECURITY &amp; RULE OF LAW</v>
      </c>
      <c r="L147" s="8" t="s">
        <v>192</v>
      </c>
      <c r="M147" s="8" t="s">
        <v>193</v>
      </c>
      <c r="N147" s="8" t="s">
        <v>31</v>
      </c>
      <c r="O147" s="8" t="s">
        <v>31</v>
      </c>
      <c r="P147" s="8" t="s">
        <v>31</v>
      </c>
      <c r="Q147" s="9" t="s">
        <v>734</v>
      </c>
      <c r="R147" s="8" t="s">
        <v>53</v>
      </c>
      <c r="S147" s="10">
        <v>45474</v>
      </c>
      <c r="T147" s="8" t="s">
        <v>735</v>
      </c>
      <c r="U147" s="8" t="s">
        <v>196</v>
      </c>
      <c r="V147" s="8" t="s">
        <v>197</v>
      </c>
      <c r="W147" s="8" t="s">
        <v>198</v>
      </c>
      <c r="X147" s="8" t="s">
        <v>592</v>
      </c>
      <c r="Y147" s="8" t="s">
        <v>593</v>
      </c>
      <c r="Z147" s="8" t="s">
        <v>31</v>
      </c>
      <c r="AA147" s="8" t="s">
        <v>201</v>
      </c>
      <c r="AB147" s="8" t="s">
        <v>202</v>
      </c>
    </row>
    <row r="148" spans="1:28">
      <c r="A148" s="8">
        <v>147</v>
      </c>
      <c r="B148" s="8" t="s">
        <v>736</v>
      </c>
      <c r="C148" s="8" t="s">
        <v>729</v>
      </c>
      <c r="D148" s="8" t="s">
        <v>730</v>
      </c>
      <c r="E148" s="8">
        <v>5</v>
      </c>
      <c r="F148" s="8" t="str">
        <f t="shared" si="14"/>
        <v>Sub-sub-indicator</v>
      </c>
      <c r="G148" s="8">
        <v>1</v>
      </c>
      <c r="H148" s="8" t="s">
        <v>737</v>
      </c>
      <c r="I148" s="8" t="s">
        <v>188</v>
      </c>
      <c r="J148" s="8" t="str">
        <f t="shared" si="12"/>
        <v>ANTI-CORRUPTION</v>
      </c>
      <c r="K148" s="8" t="str">
        <f t="shared" si="11"/>
        <v>SECURITY &amp; RULE OF LAW</v>
      </c>
      <c r="L148" s="8" t="s">
        <v>192</v>
      </c>
      <c r="M148" s="8" t="s">
        <v>193</v>
      </c>
      <c r="N148" s="8" t="s">
        <v>31</v>
      </c>
      <c r="O148" s="8" t="s">
        <v>31</v>
      </c>
      <c r="P148" s="8" t="s">
        <v>31</v>
      </c>
      <c r="Q148" s="9" t="s">
        <v>738</v>
      </c>
      <c r="R148" s="8" t="s">
        <v>53</v>
      </c>
      <c r="S148" s="10">
        <v>45474</v>
      </c>
      <c r="T148" s="8" t="s">
        <v>739</v>
      </c>
      <c r="U148" s="8" t="s">
        <v>196</v>
      </c>
      <c r="V148" s="8" t="s">
        <v>197</v>
      </c>
      <c r="W148" s="8" t="s">
        <v>198</v>
      </c>
      <c r="X148" s="8" t="s">
        <v>592</v>
      </c>
      <c r="Y148" s="8" t="s">
        <v>593</v>
      </c>
      <c r="Z148" s="8" t="s">
        <v>31</v>
      </c>
      <c r="AA148" s="8" t="s">
        <v>201</v>
      </c>
      <c r="AB148" s="8" t="s">
        <v>202</v>
      </c>
    </row>
    <row r="149" spans="1:28">
      <c r="A149" s="8">
        <v>148</v>
      </c>
      <c r="B149" s="8" t="s">
        <v>740</v>
      </c>
      <c r="C149" s="8" t="s">
        <v>729</v>
      </c>
      <c r="D149" s="8" t="s">
        <v>730</v>
      </c>
      <c r="E149" s="8">
        <v>5</v>
      </c>
      <c r="F149" s="8" t="str">
        <f t="shared" si="14"/>
        <v>Sub-sub-indicator</v>
      </c>
      <c r="G149" s="8">
        <v>1</v>
      </c>
      <c r="H149" s="8" t="s">
        <v>741</v>
      </c>
      <c r="I149" s="8" t="s">
        <v>188</v>
      </c>
      <c r="J149" s="8" t="str">
        <f t="shared" si="12"/>
        <v>ANTI-CORRUPTION</v>
      </c>
      <c r="K149" s="8" t="str">
        <f t="shared" si="11"/>
        <v>SECURITY &amp; RULE OF LAW</v>
      </c>
      <c r="L149" s="8" t="s">
        <v>192</v>
      </c>
      <c r="M149" s="8" t="s">
        <v>193</v>
      </c>
      <c r="N149" s="8" t="s">
        <v>31</v>
      </c>
      <c r="O149" s="8" t="s">
        <v>31</v>
      </c>
      <c r="P149" s="8" t="s">
        <v>31</v>
      </c>
      <c r="Q149" s="9" t="s">
        <v>742</v>
      </c>
      <c r="R149" s="8" t="s">
        <v>53</v>
      </c>
      <c r="S149" s="10">
        <v>45474</v>
      </c>
      <c r="T149" s="8" t="s">
        <v>743</v>
      </c>
      <c r="U149" s="8" t="s">
        <v>196</v>
      </c>
      <c r="V149" s="8" t="s">
        <v>197</v>
      </c>
      <c r="W149" s="8" t="s">
        <v>198</v>
      </c>
      <c r="X149" s="8" t="s">
        <v>199</v>
      </c>
      <c r="Y149" s="8" t="s">
        <v>200</v>
      </c>
      <c r="Z149" s="8" t="s">
        <v>31</v>
      </c>
      <c r="AA149" s="8" t="s">
        <v>201</v>
      </c>
      <c r="AB149" s="8" t="s">
        <v>202</v>
      </c>
    </row>
    <row r="150" spans="1:28">
      <c r="A150" s="8">
        <v>149</v>
      </c>
      <c r="B150" s="8" t="s">
        <v>744</v>
      </c>
      <c r="C150" s="8" t="s">
        <v>726</v>
      </c>
      <c r="D150" s="8" t="s">
        <v>727</v>
      </c>
      <c r="E150" s="8">
        <v>4</v>
      </c>
      <c r="F150" s="8" t="str">
        <f t="shared" si="14"/>
        <v>Sub-indicator</v>
      </c>
      <c r="G150" s="8">
        <v>1</v>
      </c>
      <c r="H150" s="8" t="s">
        <v>745</v>
      </c>
      <c r="I150" s="8" t="s">
        <v>188</v>
      </c>
      <c r="J150" s="8" t="str">
        <f t="shared" si="12"/>
        <v>ANTI-CORRUPTION</v>
      </c>
      <c r="K150" s="8" t="str">
        <f t="shared" si="11"/>
        <v>SECURITY &amp; RULE OF LAW</v>
      </c>
      <c r="L150" s="8" t="s">
        <v>192</v>
      </c>
      <c r="M150" s="8" t="s">
        <v>193</v>
      </c>
      <c r="N150" s="8" t="s">
        <v>31</v>
      </c>
      <c r="O150" s="8" t="s">
        <v>31</v>
      </c>
      <c r="P150" s="8" t="s">
        <v>31</v>
      </c>
      <c r="Q150" s="9" t="s">
        <v>746</v>
      </c>
      <c r="R150" s="8" t="s">
        <v>53</v>
      </c>
      <c r="S150" s="10">
        <v>45474</v>
      </c>
      <c r="T150" s="8" t="s">
        <v>747</v>
      </c>
      <c r="U150" s="8" t="s">
        <v>196</v>
      </c>
      <c r="V150" s="8" t="s">
        <v>197</v>
      </c>
      <c r="W150" s="8" t="s">
        <v>198</v>
      </c>
      <c r="X150" s="8" t="s">
        <v>748</v>
      </c>
      <c r="Y150" s="8" t="s">
        <v>749</v>
      </c>
      <c r="Z150" s="8" t="s">
        <v>31</v>
      </c>
      <c r="AA150" s="8" t="s">
        <v>201</v>
      </c>
      <c r="AB150" s="8" t="s">
        <v>202</v>
      </c>
    </row>
    <row r="151" spans="1:28">
      <c r="A151" s="8">
        <v>150</v>
      </c>
      <c r="B151" s="8" t="s">
        <v>750</v>
      </c>
      <c r="C151" s="8" t="s">
        <v>726</v>
      </c>
      <c r="D151" s="8" t="s">
        <v>727</v>
      </c>
      <c r="E151" s="8">
        <v>4</v>
      </c>
      <c r="F151" s="8" t="str">
        <f t="shared" si="14"/>
        <v>Sub-indicator</v>
      </c>
      <c r="G151" s="8">
        <v>1</v>
      </c>
      <c r="H151" s="8" t="s">
        <v>751</v>
      </c>
      <c r="I151" s="8" t="s">
        <v>188</v>
      </c>
      <c r="J151" s="8" t="str">
        <f t="shared" si="12"/>
        <v>ANTI-CORRUPTION</v>
      </c>
      <c r="K151" s="8" t="str">
        <f t="shared" si="11"/>
        <v>SECURITY &amp; RULE OF LAW</v>
      </c>
      <c r="L151" s="8" t="s">
        <v>192</v>
      </c>
      <c r="M151" s="8" t="s">
        <v>193</v>
      </c>
      <c r="N151" s="8" t="s">
        <v>31</v>
      </c>
      <c r="O151" s="8" t="s">
        <v>31</v>
      </c>
      <c r="P151" s="8" t="s">
        <v>31</v>
      </c>
      <c r="Q151" s="9" t="s">
        <v>752</v>
      </c>
      <c r="R151" s="8" t="s">
        <v>53</v>
      </c>
      <c r="S151" s="10">
        <v>45474</v>
      </c>
      <c r="T151" s="8" t="s">
        <v>753</v>
      </c>
      <c r="U151" s="14" t="s">
        <v>196</v>
      </c>
      <c r="V151" s="8" t="s">
        <v>197</v>
      </c>
      <c r="W151" s="8" t="s">
        <v>198</v>
      </c>
      <c r="X151" s="8" t="s">
        <v>199</v>
      </c>
      <c r="Y151" s="8" t="s">
        <v>200</v>
      </c>
      <c r="Z151" s="8" t="s">
        <v>31</v>
      </c>
      <c r="AA151" s="8" t="s">
        <v>201</v>
      </c>
      <c r="AB151" s="8" t="s">
        <v>202</v>
      </c>
    </row>
    <row r="152" spans="1:28" s="6" customFormat="1">
      <c r="A152" s="6">
        <v>151</v>
      </c>
      <c r="B152" s="6" t="s">
        <v>755</v>
      </c>
      <c r="C152" s="6" t="s">
        <v>29</v>
      </c>
      <c r="D152" s="6" t="s">
        <v>30</v>
      </c>
      <c r="E152" s="6">
        <v>1</v>
      </c>
      <c r="F152" s="6" t="str">
        <f t="shared" si="14"/>
        <v>Category</v>
      </c>
      <c r="G152" s="6">
        <v>0</v>
      </c>
      <c r="H152" s="6" t="s">
        <v>756</v>
      </c>
      <c r="I152" s="6" t="s">
        <v>31</v>
      </c>
      <c r="J152" s="6" t="s">
        <v>31</v>
      </c>
      <c r="K152" s="6" t="s">
        <v>31</v>
      </c>
      <c r="L152" s="6" t="s">
        <v>33</v>
      </c>
      <c r="M152" s="6" t="s">
        <v>31</v>
      </c>
      <c r="N152" s="6" t="s">
        <v>31</v>
      </c>
      <c r="O152" s="6" t="s">
        <v>31</v>
      </c>
      <c r="P152" s="6" t="s">
        <v>31</v>
      </c>
      <c r="Q152" s="15" t="s">
        <v>757</v>
      </c>
      <c r="R152" s="6" t="s">
        <v>31</v>
      </c>
      <c r="S152" s="6" t="s">
        <v>31</v>
      </c>
      <c r="T152" s="6" t="s">
        <v>31</v>
      </c>
      <c r="U152" s="6" t="s">
        <v>31</v>
      </c>
      <c r="V152" s="6" t="s">
        <v>31</v>
      </c>
      <c r="W152" s="6" t="s">
        <v>31</v>
      </c>
      <c r="X152" s="6" t="s">
        <v>31</v>
      </c>
      <c r="Y152" s="6" t="s">
        <v>31</v>
      </c>
      <c r="Z152" s="6" t="s">
        <v>31</v>
      </c>
    </row>
    <row r="153" spans="1:28" s="6" customFormat="1">
      <c r="A153" s="6">
        <v>152</v>
      </c>
      <c r="B153" s="6" t="s">
        <v>758</v>
      </c>
      <c r="C153" s="6" t="s">
        <v>755</v>
      </c>
      <c r="D153" s="6" t="s">
        <v>756</v>
      </c>
      <c r="E153" s="6">
        <v>2</v>
      </c>
      <c r="F153" s="6" t="str">
        <f t="shared" si="14"/>
        <v>Sub-category</v>
      </c>
      <c r="G153" s="6">
        <v>0</v>
      </c>
      <c r="H153" s="6" t="s">
        <v>759</v>
      </c>
      <c r="I153" s="7" t="s">
        <v>31</v>
      </c>
      <c r="J153" s="6" t="s">
        <v>31</v>
      </c>
      <c r="K153" s="6" t="str">
        <f>$H$152</f>
        <v>PARTICIPATION, RIGHTS &amp; INCLUSION</v>
      </c>
      <c r="L153" s="6" t="s">
        <v>33</v>
      </c>
      <c r="M153" s="6" t="s">
        <v>31</v>
      </c>
      <c r="N153" s="6" t="s">
        <v>31</v>
      </c>
      <c r="O153" s="6" t="s">
        <v>31</v>
      </c>
      <c r="P153" s="6" t="s">
        <v>31</v>
      </c>
      <c r="Q153" s="6" t="s">
        <v>760</v>
      </c>
      <c r="R153" s="6" t="s">
        <v>31</v>
      </c>
      <c r="S153" s="6" t="s">
        <v>31</v>
      </c>
      <c r="T153" s="6" t="s">
        <v>31</v>
      </c>
      <c r="U153" s="6" t="s">
        <v>31</v>
      </c>
      <c r="V153" s="6" t="s">
        <v>31</v>
      </c>
      <c r="W153" s="6" t="s">
        <v>31</v>
      </c>
      <c r="X153" s="6" t="s">
        <v>31</v>
      </c>
      <c r="Y153" s="6" t="s">
        <v>31</v>
      </c>
      <c r="Z153" s="6" t="s">
        <v>31</v>
      </c>
    </row>
    <row r="154" spans="1:28">
      <c r="A154" s="8">
        <v>153</v>
      </c>
      <c r="B154" s="8" t="s">
        <v>761</v>
      </c>
      <c r="C154" s="8" t="s">
        <v>758</v>
      </c>
      <c r="D154" s="8" t="s">
        <v>759</v>
      </c>
      <c r="E154" s="12">
        <v>3</v>
      </c>
      <c r="F154" s="12" t="str">
        <f t="shared" si="14"/>
        <v>Indicator</v>
      </c>
      <c r="G154" s="8">
        <v>0</v>
      </c>
      <c r="H154" s="12" t="s">
        <v>762</v>
      </c>
      <c r="I154" s="8" t="s">
        <v>763</v>
      </c>
      <c r="J154" s="8" t="str">
        <f>$H$153</f>
        <v>PARTICIPATION</v>
      </c>
      <c r="K154" s="8" t="str">
        <f>$H$152</f>
        <v>PARTICIPATION, RIGHTS &amp; INCLUSION</v>
      </c>
      <c r="L154" s="8" t="s">
        <v>33</v>
      </c>
      <c r="M154" s="8" t="s">
        <v>31</v>
      </c>
      <c r="N154" s="8" t="s">
        <v>31</v>
      </c>
      <c r="O154" s="8" t="s">
        <v>31</v>
      </c>
      <c r="P154" s="8" t="s">
        <v>31</v>
      </c>
      <c r="Q154" s="9" t="s">
        <v>764</v>
      </c>
      <c r="R154" s="8" t="s">
        <v>31</v>
      </c>
      <c r="S154" s="13" t="s">
        <v>31</v>
      </c>
      <c r="T154" s="8" t="s">
        <v>31</v>
      </c>
      <c r="U154" s="8" t="s">
        <v>31</v>
      </c>
      <c r="V154" s="8" t="s">
        <v>31</v>
      </c>
      <c r="W154" s="8" t="s">
        <v>31</v>
      </c>
      <c r="X154" s="8" t="s">
        <v>31</v>
      </c>
      <c r="Y154" s="8" t="s">
        <v>31</v>
      </c>
      <c r="Z154" s="8" t="s">
        <v>31</v>
      </c>
    </row>
    <row r="155" spans="1:28">
      <c r="A155" s="8">
        <v>154</v>
      </c>
      <c r="B155" s="8" t="s">
        <v>765</v>
      </c>
      <c r="C155" s="8" t="s">
        <v>761</v>
      </c>
      <c r="D155" s="8" t="s">
        <v>762</v>
      </c>
      <c r="E155" s="8">
        <v>4</v>
      </c>
      <c r="F155" s="8" t="str">
        <f t="shared" si="14"/>
        <v>Sub-indicator</v>
      </c>
      <c r="G155" s="8">
        <v>1</v>
      </c>
      <c r="H155" s="8" t="s">
        <v>766</v>
      </c>
      <c r="I155" s="8" t="s">
        <v>267</v>
      </c>
      <c r="J155" s="8" t="str">
        <f>$H$153</f>
        <v>PARTICIPATION</v>
      </c>
      <c r="K155" s="8" t="str">
        <f>$H$152</f>
        <v>PARTICIPATION, RIGHTS &amp; INCLUSION</v>
      </c>
      <c r="L155" s="8" t="s">
        <v>268</v>
      </c>
      <c r="M155" s="8" t="s">
        <v>269</v>
      </c>
      <c r="N155" s="8" t="s">
        <v>31</v>
      </c>
      <c r="O155" s="8" t="s">
        <v>31</v>
      </c>
      <c r="P155" s="8" t="s">
        <v>31</v>
      </c>
      <c r="Q155" s="9" t="s">
        <v>767</v>
      </c>
      <c r="R155" s="8" t="s">
        <v>53</v>
      </c>
      <c r="S155" s="10">
        <v>45481</v>
      </c>
      <c r="T155" s="8" t="s">
        <v>768</v>
      </c>
      <c r="U155" s="8" t="s">
        <v>196</v>
      </c>
      <c r="V155" s="8" t="s">
        <v>155</v>
      </c>
      <c r="W155" s="8" t="s">
        <v>272</v>
      </c>
      <c r="X155" s="8" t="s">
        <v>58</v>
      </c>
      <c r="Y155" s="8" t="s">
        <v>58</v>
      </c>
      <c r="Z155" s="8" t="s">
        <v>31</v>
      </c>
      <c r="AA155" s="8" t="s">
        <v>273</v>
      </c>
    </row>
    <row r="156" spans="1:28">
      <c r="A156" s="8">
        <v>155</v>
      </c>
      <c r="B156" s="8" t="s">
        <v>769</v>
      </c>
      <c r="C156" s="8" t="s">
        <v>761</v>
      </c>
      <c r="D156" s="8" t="s">
        <v>762</v>
      </c>
      <c r="E156" s="8">
        <v>4</v>
      </c>
      <c r="F156" s="8" t="str">
        <f t="shared" si="14"/>
        <v>Sub-indicator</v>
      </c>
      <c r="G156" s="8">
        <v>1</v>
      </c>
      <c r="H156" s="8" t="s">
        <v>770</v>
      </c>
      <c r="I156" s="8" t="s">
        <v>339</v>
      </c>
      <c r="J156" s="8" t="str">
        <f>H153</f>
        <v>PARTICIPATION</v>
      </c>
      <c r="K156" s="8" t="str">
        <f>H152</f>
        <v>PARTICIPATION, RIGHTS &amp; INCLUSION</v>
      </c>
      <c r="L156" s="8" t="s">
        <v>340</v>
      </c>
      <c r="M156" s="8" t="s">
        <v>341</v>
      </c>
      <c r="N156" s="8" t="s">
        <v>31</v>
      </c>
      <c r="O156" s="8" t="s">
        <v>31</v>
      </c>
      <c r="P156" s="8" t="s">
        <v>31</v>
      </c>
      <c r="Q156" s="9" t="s">
        <v>771</v>
      </c>
      <c r="R156" s="8" t="s">
        <v>53</v>
      </c>
      <c r="S156" s="10">
        <v>45428</v>
      </c>
      <c r="T156" s="8" t="s">
        <v>772</v>
      </c>
      <c r="U156" s="8" t="s">
        <v>229</v>
      </c>
      <c r="V156" s="8" t="s">
        <v>155</v>
      </c>
      <c r="W156" s="8" t="s">
        <v>344</v>
      </c>
      <c r="X156" s="8" t="s">
        <v>58</v>
      </c>
      <c r="Y156" s="8" t="s">
        <v>58</v>
      </c>
      <c r="Z156" s="8" t="s">
        <v>31</v>
      </c>
      <c r="AA156" s="8" t="s">
        <v>273</v>
      </c>
    </row>
    <row r="157" spans="1:28">
      <c r="A157" s="8">
        <v>156</v>
      </c>
      <c r="B157" s="8" t="s">
        <v>773</v>
      </c>
      <c r="C157" s="8" t="s">
        <v>758</v>
      </c>
      <c r="D157" s="8" t="s">
        <v>759</v>
      </c>
      <c r="E157" s="12">
        <v>3</v>
      </c>
      <c r="F157" s="12" t="str">
        <f t="shared" si="14"/>
        <v>Indicator</v>
      </c>
      <c r="G157" s="8">
        <v>0</v>
      </c>
      <c r="H157" s="12" t="s">
        <v>774</v>
      </c>
      <c r="I157" s="8" t="s">
        <v>255</v>
      </c>
      <c r="J157" s="8" t="str">
        <f t="shared" ref="J157:J187" si="15">$H$153</f>
        <v>PARTICIPATION</v>
      </c>
      <c r="K157" s="8" t="str">
        <f t="shared" ref="K157:K187" si="16">$H$152</f>
        <v>PARTICIPATION, RIGHTS &amp; INCLUSION</v>
      </c>
      <c r="L157" s="8" t="s">
        <v>33</v>
      </c>
      <c r="M157" s="8" t="s">
        <v>31</v>
      </c>
      <c r="N157" s="8" t="s">
        <v>31</v>
      </c>
      <c r="O157" s="8" t="s">
        <v>31</v>
      </c>
      <c r="P157" s="8" t="s">
        <v>31</v>
      </c>
      <c r="Q157" s="9" t="s">
        <v>775</v>
      </c>
      <c r="R157" s="8" t="s">
        <v>31</v>
      </c>
      <c r="S157" s="10" t="s">
        <v>31</v>
      </c>
      <c r="T157" s="8" t="s">
        <v>31</v>
      </c>
      <c r="U157" s="8" t="s">
        <v>31</v>
      </c>
      <c r="V157" s="8" t="s">
        <v>31</v>
      </c>
      <c r="W157" s="8" t="s">
        <v>31</v>
      </c>
      <c r="X157" s="8" t="s">
        <v>31</v>
      </c>
      <c r="Y157" s="8" t="s">
        <v>31</v>
      </c>
      <c r="Z157" s="8" t="s">
        <v>31</v>
      </c>
    </row>
    <row r="158" spans="1:28">
      <c r="A158" s="8">
        <v>157</v>
      </c>
      <c r="B158" s="8" t="s">
        <v>776</v>
      </c>
      <c r="C158" s="8" t="s">
        <v>773</v>
      </c>
      <c r="D158" s="8" t="s">
        <v>774</v>
      </c>
      <c r="E158" s="8">
        <v>4</v>
      </c>
      <c r="F158" s="8" t="str">
        <f t="shared" si="14"/>
        <v>Sub-indicator</v>
      </c>
      <c r="G158" s="8">
        <v>1</v>
      </c>
      <c r="H158" s="8" t="s">
        <v>777</v>
      </c>
      <c r="I158" s="8" t="s">
        <v>149</v>
      </c>
      <c r="J158" s="8" t="str">
        <f t="shared" si="15"/>
        <v>PARTICIPATION</v>
      </c>
      <c r="K158" s="8" t="str">
        <f t="shared" si="16"/>
        <v>PARTICIPATION, RIGHTS &amp; INCLUSION</v>
      </c>
      <c r="L158" s="8" t="s">
        <v>150</v>
      </c>
      <c r="M158" s="8" t="s">
        <v>151</v>
      </c>
      <c r="N158" s="8" t="s">
        <v>31</v>
      </c>
      <c r="O158" s="8" t="s">
        <v>31</v>
      </c>
      <c r="P158" s="8" t="s">
        <v>31</v>
      </c>
      <c r="Q158" s="9" t="s">
        <v>778</v>
      </c>
      <c r="R158" s="8" t="s">
        <v>53</v>
      </c>
      <c r="S158" s="10">
        <v>45432</v>
      </c>
      <c r="T158" s="8" t="s">
        <v>779</v>
      </c>
      <c r="U158" s="8" t="s">
        <v>154</v>
      </c>
      <c r="V158" s="8" t="s">
        <v>155</v>
      </c>
      <c r="W158" s="8" t="s">
        <v>156</v>
      </c>
      <c r="X158" s="8" t="s">
        <v>58</v>
      </c>
      <c r="Y158" s="8" t="s">
        <v>58</v>
      </c>
      <c r="Z158" s="8" t="s">
        <v>31</v>
      </c>
      <c r="AA158" s="8" t="s">
        <v>780</v>
      </c>
    </row>
    <row r="159" spans="1:28">
      <c r="A159" s="8">
        <v>158</v>
      </c>
      <c r="B159" s="8" t="s">
        <v>781</v>
      </c>
      <c r="C159" s="8" t="s">
        <v>773</v>
      </c>
      <c r="D159" s="8" t="s">
        <v>774</v>
      </c>
      <c r="E159" s="8">
        <v>4</v>
      </c>
      <c r="F159" s="8" t="str">
        <f t="shared" si="14"/>
        <v>Sub-indicator</v>
      </c>
      <c r="G159" s="8">
        <v>1</v>
      </c>
      <c r="H159" s="8" t="s">
        <v>782</v>
      </c>
      <c r="I159" s="8" t="s">
        <v>267</v>
      </c>
      <c r="J159" s="8" t="str">
        <f t="shared" si="15"/>
        <v>PARTICIPATION</v>
      </c>
      <c r="K159" s="8" t="str">
        <f t="shared" si="16"/>
        <v>PARTICIPATION, RIGHTS &amp; INCLUSION</v>
      </c>
      <c r="L159" s="8" t="s">
        <v>268</v>
      </c>
      <c r="M159" s="8" t="s">
        <v>269</v>
      </c>
      <c r="N159" s="8" t="s">
        <v>31</v>
      </c>
      <c r="O159" s="8" t="s">
        <v>31</v>
      </c>
      <c r="P159" s="8" t="s">
        <v>31</v>
      </c>
      <c r="Q159" s="9" t="s">
        <v>783</v>
      </c>
      <c r="R159" s="8" t="s">
        <v>53</v>
      </c>
      <c r="S159" s="10">
        <v>45481</v>
      </c>
      <c r="T159" s="8" t="s">
        <v>784</v>
      </c>
      <c r="U159" s="8" t="s">
        <v>196</v>
      </c>
      <c r="V159" s="8" t="s">
        <v>155</v>
      </c>
      <c r="W159" s="8" t="s">
        <v>272</v>
      </c>
      <c r="X159" s="8" t="s">
        <v>58</v>
      </c>
      <c r="Y159" s="8" t="s">
        <v>58</v>
      </c>
      <c r="Z159" s="8" t="s">
        <v>31</v>
      </c>
      <c r="AA159" s="8" t="s">
        <v>273</v>
      </c>
    </row>
    <row r="160" spans="1:28">
      <c r="A160" s="8">
        <v>159</v>
      </c>
      <c r="B160" s="8" t="s">
        <v>785</v>
      </c>
      <c r="C160" s="8" t="s">
        <v>773</v>
      </c>
      <c r="D160" s="8" t="s">
        <v>774</v>
      </c>
      <c r="E160" s="8">
        <v>4</v>
      </c>
      <c r="F160" s="8" t="str">
        <f t="shared" si="14"/>
        <v>Sub-indicator</v>
      </c>
      <c r="G160" s="8">
        <v>1</v>
      </c>
      <c r="H160" s="8" t="s">
        <v>786</v>
      </c>
      <c r="I160" s="8" t="s">
        <v>149</v>
      </c>
      <c r="J160" s="8" t="str">
        <f t="shared" si="15"/>
        <v>PARTICIPATION</v>
      </c>
      <c r="K160" s="8" t="str">
        <f t="shared" si="16"/>
        <v>PARTICIPATION, RIGHTS &amp; INCLUSION</v>
      </c>
      <c r="L160" s="8" t="s">
        <v>150</v>
      </c>
      <c r="M160" s="8" t="s">
        <v>151</v>
      </c>
      <c r="N160" s="8" t="s">
        <v>31</v>
      </c>
      <c r="O160" s="8" t="s">
        <v>31</v>
      </c>
      <c r="P160" s="8" t="s">
        <v>31</v>
      </c>
      <c r="Q160" s="9" t="s">
        <v>787</v>
      </c>
      <c r="R160" s="8" t="s">
        <v>53</v>
      </c>
      <c r="S160" s="10">
        <v>45432</v>
      </c>
      <c r="T160" s="8" t="s">
        <v>788</v>
      </c>
      <c r="U160" s="8" t="s">
        <v>229</v>
      </c>
      <c r="V160" s="8" t="s">
        <v>155</v>
      </c>
      <c r="W160" s="8" t="s">
        <v>156</v>
      </c>
      <c r="X160" s="8" t="s">
        <v>58</v>
      </c>
      <c r="Y160" s="8" t="s">
        <v>58</v>
      </c>
      <c r="Z160" s="8" t="s">
        <v>31</v>
      </c>
      <c r="AB160" s="8" t="s">
        <v>157</v>
      </c>
    </row>
    <row r="161" spans="1:29">
      <c r="A161" s="8">
        <v>160</v>
      </c>
      <c r="B161" s="8" t="s">
        <v>789</v>
      </c>
      <c r="C161" s="8" t="s">
        <v>758</v>
      </c>
      <c r="D161" s="8" t="s">
        <v>759</v>
      </c>
      <c r="E161" s="12">
        <v>3</v>
      </c>
      <c r="F161" s="12" t="str">
        <f t="shared" si="14"/>
        <v>Indicator</v>
      </c>
      <c r="G161" s="8">
        <v>0</v>
      </c>
      <c r="H161" s="12" t="s">
        <v>790</v>
      </c>
      <c r="I161" s="8" t="s">
        <v>255</v>
      </c>
      <c r="J161" s="8" t="str">
        <f t="shared" si="15"/>
        <v>PARTICIPATION</v>
      </c>
      <c r="K161" s="8" t="str">
        <f t="shared" si="16"/>
        <v>PARTICIPATION, RIGHTS &amp; INCLUSION</v>
      </c>
      <c r="L161" s="8" t="s">
        <v>33</v>
      </c>
      <c r="M161" s="8" t="s">
        <v>31</v>
      </c>
      <c r="N161" s="8" t="s">
        <v>31</v>
      </c>
      <c r="O161" s="8" t="s">
        <v>31</v>
      </c>
      <c r="P161" s="8" t="s">
        <v>31</v>
      </c>
      <c r="Q161" s="9" t="s">
        <v>791</v>
      </c>
      <c r="R161" s="8" t="s">
        <v>31</v>
      </c>
      <c r="S161" s="10" t="s">
        <v>31</v>
      </c>
      <c r="T161" s="8" t="s">
        <v>31</v>
      </c>
      <c r="U161" s="8" t="s">
        <v>31</v>
      </c>
      <c r="V161" s="8" t="s">
        <v>31</v>
      </c>
      <c r="W161" s="8" t="s">
        <v>31</v>
      </c>
      <c r="X161" s="8" t="s">
        <v>31</v>
      </c>
      <c r="Y161" s="8" t="s">
        <v>31</v>
      </c>
      <c r="Z161" s="8" t="s">
        <v>31</v>
      </c>
    </row>
    <row r="162" spans="1:29">
      <c r="A162" s="8">
        <v>161</v>
      </c>
      <c r="B162" s="8" t="s">
        <v>792</v>
      </c>
      <c r="C162" s="8" t="s">
        <v>789</v>
      </c>
      <c r="D162" s="8" t="s">
        <v>790</v>
      </c>
      <c r="E162" s="8">
        <v>4</v>
      </c>
      <c r="F162" s="8" t="str">
        <f t="shared" si="14"/>
        <v>Sub-indicator</v>
      </c>
      <c r="G162" s="8">
        <v>0</v>
      </c>
      <c r="H162" s="8" t="s">
        <v>793</v>
      </c>
      <c r="I162" s="8" t="s">
        <v>255</v>
      </c>
      <c r="J162" s="8" t="str">
        <f t="shared" si="15"/>
        <v>PARTICIPATION</v>
      </c>
      <c r="K162" s="8" t="str">
        <f t="shared" si="16"/>
        <v>PARTICIPATION, RIGHTS &amp; INCLUSION</v>
      </c>
      <c r="L162" s="8" t="s">
        <v>33</v>
      </c>
      <c r="M162" s="8" t="s">
        <v>31</v>
      </c>
      <c r="N162" s="8" t="s">
        <v>31</v>
      </c>
      <c r="O162" s="8" t="s">
        <v>31</v>
      </c>
      <c r="P162" s="8" t="s">
        <v>31</v>
      </c>
      <c r="Q162" s="9" t="s">
        <v>794</v>
      </c>
      <c r="R162" s="8" t="s">
        <v>31</v>
      </c>
      <c r="S162" s="10" t="s">
        <v>31</v>
      </c>
      <c r="T162" s="8" t="s">
        <v>31</v>
      </c>
      <c r="U162" s="8" t="s">
        <v>31</v>
      </c>
      <c r="V162" s="8" t="s">
        <v>31</v>
      </c>
      <c r="W162" s="8" t="s">
        <v>31</v>
      </c>
      <c r="X162" s="8" t="s">
        <v>31</v>
      </c>
      <c r="Y162" s="8" t="s">
        <v>31</v>
      </c>
      <c r="Z162" s="8" t="s">
        <v>31</v>
      </c>
    </row>
    <row r="163" spans="1:29">
      <c r="A163" s="8">
        <v>162</v>
      </c>
      <c r="B163" s="8" t="s">
        <v>795</v>
      </c>
      <c r="C163" s="8" t="s">
        <v>792</v>
      </c>
      <c r="D163" s="8" t="s">
        <v>793</v>
      </c>
      <c r="E163" s="8">
        <v>5</v>
      </c>
      <c r="F163" s="8" t="str">
        <f t="shared" si="14"/>
        <v>Sub-sub-indicator</v>
      </c>
      <c r="G163" s="8">
        <v>1</v>
      </c>
      <c r="H163" s="8" t="s">
        <v>796</v>
      </c>
      <c r="I163" s="8" t="s">
        <v>149</v>
      </c>
      <c r="J163" s="8" t="str">
        <f t="shared" si="15"/>
        <v>PARTICIPATION</v>
      </c>
      <c r="K163" s="8" t="str">
        <f t="shared" si="16"/>
        <v>PARTICIPATION, RIGHTS &amp; INCLUSION</v>
      </c>
      <c r="L163" s="8" t="s">
        <v>150</v>
      </c>
      <c r="M163" s="8" t="s">
        <v>151</v>
      </c>
      <c r="N163" s="8" t="s">
        <v>31</v>
      </c>
      <c r="O163" s="8" t="s">
        <v>31</v>
      </c>
      <c r="P163" s="8" t="s">
        <v>31</v>
      </c>
      <c r="Q163" s="9" t="s">
        <v>797</v>
      </c>
      <c r="R163" s="8" t="s">
        <v>53</v>
      </c>
      <c r="S163" s="10">
        <v>45432</v>
      </c>
      <c r="T163" s="8" t="s">
        <v>798</v>
      </c>
      <c r="U163" s="8" t="s">
        <v>229</v>
      </c>
      <c r="V163" s="8" t="s">
        <v>155</v>
      </c>
      <c r="W163" s="8" t="s">
        <v>156</v>
      </c>
      <c r="X163" s="8" t="s">
        <v>58</v>
      </c>
      <c r="Y163" s="8" t="s">
        <v>58</v>
      </c>
      <c r="Z163" s="8" t="s">
        <v>31</v>
      </c>
      <c r="AB163" s="8" t="s">
        <v>157</v>
      </c>
    </row>
    <row r="164" spans="1:29">
      <c r="A164" s="8">
        <v>163</v>
      </c>
      <c r="B164" s="8" t="s">
        <v>799</v>
      </c>
      <c r="C164" s="8" t="s">
        <v>792</v>
      </c>
      <c r="D164" s="8" t="s">
        <v>793</v>
      </c>
      <c r="E164" s="8">
        <v>5</v>
      </c>
      <c r="F164" s="8" t="str">
        <f t="shared" si="14"/>
        <v>Sub-sub-indicator</v>
      </c>
      <c r="G164" s="8">
        <v>1</v>
      </c>
      <c r="H164" s="8" t="s">
        <v>800</v>
      </c>
      <c r="I164" s="8" t="s">
        <v>267</v>
      </c>
      <c r="J164" s="8" t="str">
        <f t="shared" si="15"/>
        <v>PARTICIPATION</v>
      </c>
      <c r="K164" s="8" t="str">
        <f t="shared" si="16"/>
        <v>PARTICIPATION, RIGHTS &amp; INCLUSION</v>
      </c>
      <c r="L164" s="8" t="s">
        <v>268</v>
      </c>
      <c r="M164" s="8" t="s">
        <v>269</v>
      </c>
      <c r="N164" s="8" t="s">
        <v>31</v>
      </c>
      <c r="O164" s="8" t="s">
        <v>31</v>
      </c>
      <c r="P164" s="8" t="s">
        <v>31</v>
      </c>
      <c r="Q164" s="9" t="s">
        <v>801</v>
      </c>
      <c r="R164" s="8" t="s">
        <v>53</v>
      </c>
      <c r="S164" s="10">
        <v>45481</v>
      </c>
      <c r="T164" s="8" t="s">
        <v>802</v>
      </c>
      <c r="U164" s="8" t="s">
        <v>196</v>
      </c>
      <c r="V164" s="8" t="s">
        <v>155</v>
      </c>
      <c r="W164" s="8" t="s">
        <v>272</v>
      </c>
      <c r="X164" s="8" t="s">
        <v>58</v>
      </c>
      <c r="Y164" s="8" t="s">
        <v>58</v>
      </c>
      <c r="Z164" s="8" t="s">
        <v>31</v>
      </c>
      <c r="AA164" s="8" t="s">
        <v>273</v>
      </c>
    </row>
    <row r="165" spans="1:29">
      <c r="A165" s="8">
        <v>164</v>
      </c>
      <c r="B165" s="8" t="s">
        <v>803</v>
      </c>
      <c r="C165" s="8" t="s">
        <v>789</v>
      </c>
      <c r="D165" s="8" t="s">
        <v>790</v>
      </c>
      <c r="E165" s="8">
        <v>4</v>
      </c>
      <c r="F165" s="8" t="str">
        <f t="shared" si="14"/>
        <v>Sub-indicator</v>
      </c>
      <c r="G165" s="8">
        <v>0</v>
      </c>
      <c r="H165" s="8" t="s">
        <v>804</v>
      </c>
      <c r="I165" s="8" t="s">
        <v>255</v>
      </c>
      <c r="J165" s="8" t="str">
        <f t="shared" si="15"/>
        <v>PARTICIPATION</v>
      </c>
      <c r="K165" s="8" t="str">
        <f t="shared" si="16"/>
        <v>PARTICIPATION, RIGHTS &amp; INCLUSION</v>
      </c>
      <c r="L165" s="8" t="s">
        <v>33</v>
      </c>
      <c r="M165" s="8" t="s">
        <v>31</v>
      </c>
      <c r="N165" s="8" t="s">
        <v>31</v>
      </c>
      <c r="O165" s="8" t="s">
        <v>31</v>
      </c>
      <c r="P165" s="8" t="s">
        <v>31</v>
      </c>
      <c r="Q165" s="9" t="s">
        <v>805</v>
      </c>
      <c r="R165" s="8" t="s">
        <v>31</v>
      </c>
      <c r="S165" s="10" t="s">
        <v>31</v>
      </c>
      <c r="T165" s="8" t="s">
        <v>31</v>
      </c>
      <c r="U165" s="8" t="s">
        <v>31</v>
      </c>
      <c r="V165" s="8" t="s">
        <v>31</v>
      </c>
      <c r="W165" s="8" t="s">
        <v>31</v>
      </c>
      <c r="X165" s="8" t="s">
        <v>31</v>
      </c>
      <c r="Y165" s="8" t="s">
        <v>31</v>
      </c>
      <c r="Z165" s="8" t="s">
        <v>31</v>
      </c>
    </row>
    <row r="166" spans="1:29">
      <c r="A166" s="8">
        <v>165</v>
      </c>
      <c r="B166" s="8" t="s">
        <v>806</v>
      </c>
      <c r="C166" s="8" t="s">
        <v>803</v>
      </c>
      <c r="D166" s="8" t="s">
        <v>804</v>
      </c>
      <c r="E166" s="8">
        <v>5</v>
      </c>
      <c r="F166" s="8" t="str">
        <f t="shared" si="14"/>
        <v>Sub-sub-indicator</v>
      </c>
      <c r="G166" s="8">
        <v>1</v>
      </c>
      <c r="H166" s="8" t="s">
        <v>807</v>
      </c>
      <c r="I166" s="8" t="s">
        <v>149</v>
      </c>
      <c r="J166" s="8" t="str">
        <f t="shared" si="15"/>
        <v>PARTICIPATION</v>
      </c>
      <c r="K166" s="8" t="str">
        <f t="shared" si="16"/>
        <v>PARTICIPATION, RIGHTS &amp; INCLUSION</v>
      </c>
      <c r="L166" s="8" t="s">
        <v>150</v>
      </c>
      <c r="M166" s="8" t="s">
        <v>151</v>
      </c>
      <c r="N166" s="8" t="s">
        <v>31</v>
      </c>
      <c r="O166" s="8" t="s">
        <v>31</v>
      </c>
      <c r="P166" s="8" t="s">
        <v>31</v>
      </c>
      <c r="Q166" s="9" t="s">
        <v>808</v>
      </c>
      <c r="R166" s="8" t="s">
        <v>53</v>
      </c>
      <c r="S166" s="10">
        <v>45432</v>
      </c>
      <c r="T166" s="8" t="s">
        <v>809</v>
      </c>
      <c r="U166" s="8" t="s">
        <v>229</v>
      </c>
      <c r="V166" s="8" t="s">
        <v>155</v>
      </c>
      <c r="W166" s="8" t="s">
        <v>156</v>
      </c>
      <c r="X166" s="8" t="s">
        <v>58</v>
      </c>
      <c r="Y166" s="8" t="s">
        <v>58</v>
      </c>
      <c r="Z166" s="8" t="s">
        <v>31</v>
      </c>
      <c r="AB166" s="8" t="s">
        <v>157</v>
      </c>
    </row>
    <row r="167" spans="1:29">
      <c r="A167" s="8">
        <v>166</v>
      </c>
      <c r="B167" s="8" t="s">
        <v>810</v>
      </c>
      <c r="C167" s="8" t="s">
        <v>803</v>
      </c>
      <c r="D167" s="8" t="s">
        <v>804</v>
      </c>
      <c r="E167" s="8">
        <v>5</v>
      </c>
      <c r="F167" s="8" t="str">
        <f t="shared" si="14"/>
        <v>Sub-sub-indicator</v>
      </c>
      <c r="G167" s="8">
        <v>1</v>
      </c>
      <c r="H167" s="8" t="s">
        <v>811</v>
      </c>
      <c r="I167" s="8" t="s">
        <v>267</v>
      </c>
      <c r="J167" s="8" t="str">
        <f t="shared" si="15"/>
        <v>PARTICIPATION</v>
      </c>
      <c r="K167" s="8" t="str">
        <f t="shared" si="16"/>
        <v>PARTICIPATION, RIGHTS &amp; INCLUSION</v>
      </c>
      <c r="L167" s="8" t="s">
        <v>268</v>
      </c>
      <c r="M167" s="8" t="s">
        <v>269</v>
      </c>
      <c r="N167" s="8" t="s">
        <v>31</v>
      </c>
      <c r="O167" s="8" t="s">
        <v>31</v>
      </c>
      <c r="P167" s="8" t="s">
        <v>31</v>
      </c>
      <c r="Q167" s="9" t="s">
        <v>812</v>
      </c>
      <c r="R167" s="8" t="s">
        <v>53</v>
      </c>
      <c r="S167" s="10">
        <v>45481</v>
      </c>
      <c r="T167" s="8" t="s">
        <v>813</v>
      </c>
      <c r="U167" s="8" t="s">
        <v>196</v>
      </c>
      <c r="V167" s="8" t="s">
        <v>155</v>
      </c>
      <c r="W167" s="8" t="s">
        <v>272</v>
      </c>
      <c r="X167" s="8" t="s">
        <v>58</v>
      </c>
      <c r="Y167" s="8" t="s">
        <v>58</v>
      </c>
      <c r="Z167" s="8" t="s">
        <v>31</v>
      </c>
      <c r="AA167" s="8" t="s">
        <v>273</v>
      </c>
    </row>
    <row r="168" spans="1:29">
      <c r="A168" s="8">
        <v>167</v>
      </c>
      <c r="B168" s="8" t="s">
        <v>814</v>
      </c>
      <c r="C168" s="8" t="s">
        <v>758</v>
      </c>
      <c r="D168" s="8" t="s">
        <v>759</v>
      </c>
      <c r="E168" s="12">
        <v>3</v>
      </c>
      <c r="F168" s="12" t="str">
        <f t="shared" si="14"/>
        <v>Indicator</v>
      </c>
      <c r="G168" s="8">
        <v>0</v>
      </c>
      <c r="H168" s="12" t="s">
        <v>815</v>
      </c>
      <c r="I168" s="8" t="s">
        <v>816</v>
      </c>
      <c r="J168" s="8" t="str">
        <f t="shared" si="15"/>
        <v>PARTICIPATION</v>
      </c>
      <c r="K168" s="8" t="str">
        <f t="shared" si="16"/>
        <v>PARTICIPATION, RIGHTS &amp; INCLUSION</v>
      </c>
      <c r="L168" s="8" t="s">
        <v>33</v>
      </c>
      <c r="M168" s="8" t="s">
        <v>31</v>
      </c>
      <c r="N168" s="8" t="s">
        <v>31</v>
      </c>
      <c r="O168" s="8" t="s">
        <v>31</v>
      </c>
      <c r="P168" s="8" t="s">
        <v>31</v>
      </c>
      <c r="Q168" s="9" t="s">
        <v>817</v>
      </c>
      <c r="R168" s="8" t="s">
        <v>31</v>
      </c>
      <c r="S168" s="10" t="s">
        <v>31</v>
      </c>
      <c r="T168" s="8" t="s">
        <v>31</v>
      </c>
      <c r="U168" s="8" t="s">
        <v>31</v>
      </c>
      <c r="V168" s="8" t="s">
        <v>31</v>
      </c>
      <c r="W168" s="8" t="s">
        <v>31</v>
      </c>
      <c r="X168" s="8" t="s">
        <v>31</v>
      </c>
      <c r="Y168" s="8" t="s">
        <v>31</v>
      </c>
      <c r="Z168" s="8" t="s">
        <v>31</v>
      </c>
    </row>
    <row r="169" spans="1:29">
      <c r="A169" s="8">
        <v>168</v>
      </c>
      <c r="B169" s="8" t="s">
        <v>818</v>
      </c>
      <c r="C169" s="8" t="s">
        <v>814</v>
      </c>
      <c r="D169" s="8" t="s">
        <v>815</v>
      </c>
      <c r="E169" s="8">
        <v>4</v>
      </c>
      <c r="F169" s="8" t="str">
        <f t="shared" si="14"/>
        <v>Sub-indicator</v>
      </c>
      <c r="G169" s="8">
        <v>0</v>
      </c>
      <c r="H169" s="8" t="s">
        <v>819</v>
      </c>
      <c r="I169" s="8" t="s">
        <v>820</v>
      </c>
      <c r="J169" s="8" t="str">
        <f t="shared" si="15"/>
        <v>PARTICIPATION</v>
      </c>
      <c r="K169" s="8" t="str">
        <f t="shared" si="16"/>
        <v>PARTICIPATION, RIGHTS &amp; INCLUSION</v>
      </c>
      <c r="L169" s="8" t="s">
        <v>33</v>
      </c>
      <c r="M169" s="8" t="s">
        <v>31</v>
      </c>
      <c r="N169" s="8" t="s">
        <v>31</v>
      </c>
      <c r="O169" s="8" t="s">
        <v>31</v>
      </c>
      <c r="P169" s="8" t="s">
        <v>31</v>
      </c>
      <c r="Q169" s="9" t="s">
        <v>821</v>
      </c>
      <c r="R169" s="8" t="s">
        <v>31</v>
      </c>
      <c r="S169" s="10" t="s">
        <v>31</v>
      </c>
      <c r="T169" s="8" t="s">
        <v>31</v>
      </c>
      <c r="U169" s="8" t="s">
        <v>31</v>
      </c>
      <c r="V169" s="8" t="s">
        <v>31</v>
      </c>
      <c r="W169" s="8" t="s">
        <v>31</v>
      </c>
      <c r="X169" s="8" t="s">
        <v>31</v>
      </c>
      <c r="Y169" s="8" t="s">
        <v>31</v>
      </c>
      <c r="Z169" s="8" t="s">
        <v>31</v>
      </c>
    </row>
    <row r="170" spans="1:29">
      <c r="A170" s="8">
        <v>169</v>
      </c>
      <c r="B170" s="8" t="s">
        <v>822</v>
      </c>
      <c r="C170" s="8" t="s">
        <v>818</v>
      </c>
      <c r="D170" s="8" t="s">
        <v>819</v>
      </c>
      <c r="E170" s="8">
        <v>5</v>
      </c>
      <c r="F170" s="8" t="str">
        <f t="shared" si="14"/>
        <v>Sub-sub-indicator</v>
      </c>
      <c r="G170" s="8">
        <v>1</v>
      </c>
      <c r="H170" s="8" t="s">
        <v>823</v>
      </c>
      <c r="I170" s="8" t="s">
        <v>824</v>
      </c>
      <c r="J170" s="8" t="str">
        <f t="shared" si="15"/>
        <v>PARTICIPATION</v>
      </c>
      <c r="K170" s="8" t="str">
        <f t="shared" si="16"/>
        <v>PARTICIPATION, RIGHTS &amp; INCLUSION</v>
      </c>
      <c r="L170" s="8" t="s">
        <v>825</v>
      </c>
      <c r="M170" s="8" t="s">
        <v>826</v>
      </c>
      <c r="N170" s="8" t="s">
        <v>31</v>
      </c>
      <c r="O170" s="8" t="s">
        <v>31</v>
      </c>
      <c r="P170" s="8" t="s">
        <v>31</v>
      </c>
      <c r="Q170" s="9" t="s">
        <v>827</v>
      </c>
      <c r="R170" s="8" t="s">
        <v>53</v>
      </c>
      <c r="S170" s="10">
        <v>45506</v>
      </c>
      <c r="T170" s="8" t="s">
        <v>828</v>
      </c>
      <c r="U170" s="8" t="s">
        <v>829</v>
      </c>
      <c r="V170" s="8" t="s">
        <v>155</v>
      </c>
      <c r="W170" s="8" t="s">
        <v>830</v>
      </c>
      <c r="X170" s="8" t="s">
        <v>58</v>
      </c>
      <c r="Y170" s="8" t="s">
        <v>58</v>
      </c>
      <c r="Z170" s="8" t="s">
        <v>31</v>
      </c>
      <c r="AA170" s="8" t="s">
        <v>831</v>
      </c>
      <c r="AB170" s="8" t="s">
        <v>832</v>
      </c>
    </row>
    <row r="171" spans="1:29">
      <c r="A171" s="8">
        <v>170</v>
      </c>
      <c r="B171" s="8" t="s">
        <v>833</v>
      </c>
      <c r="C171" s="8" t="s">
        <v>818</v>
      </c>
      <c r="D171" s="8" t="s">
        <v>819</v>
      </c>
      <c r="E171" s="8">
        <v>5</v>
      </c>
      <c r="F171" s="8" t="str">
        <f t="shared" si="14"/>
        <v>Sub-sub-indicator</v>
      </c>
      <c r="G171" s="8">
        <v>1</v>
      </c>
      <c r="H171" s="8" t="s">
        <v>834</v>
      </c>
      <c r="I171" s="8" t="s">
        <v>149</v>
      </c>
      <c r="J171" s="8" t="str">
        <f t="shared" si="15"/>
        <v>PARTICIPATION</v>
      </c>
      <c r="K171" s="8" t="str">
        <f t="shared" si="16"/>
        <v>PARTICIPATION, RIGHTS &amp; INCLUSION</v>
      </c>
      <c r="L171" s="8" t="s">
        <v>150</v>
      </c>
      <c r="M171" s="8" t="s">
        <v>151</v>
      </c>
      <c r="N171" s="8" t="s">
        <v>31</v>
      </c>
      <c r="O171" s="8" t="s">
        <v>31</v>
      </c>
      <c r="P171" s="8" t="s">
        <v>31</v>
      </c>
      <c r="Q171" s="9" t="s">
        <v>835</v>
      </c>
      <c r="R171" s="8" t="s">
        <v>53</v>
      </c>
      <c r="S171" s="10">
        <v>45432</v>
      </c>
      <c r="T171" s="8" t="s">
        <v>836</v>
      </c>
      <c r="U171" s="8" t="s">
        <v>154</v>
      </c>
      <c r="V171" s="8" t="s">
        <v>155</v>
      </c>
      <c r="W171" s="8" t="s">
        <v>156</v>
      </c>
      <c r="X171" s="8" t="s">
        <v>58</v>
      </c>
      <c r="Y171" s="8" t="s">
        <v>58</v>
      </c>
      <c r="Z171" s="8" t="s">
        <v>31</v>
      </c>
      <c r="AA171" s="8" t="s">
        <v>837</v>
      </c>
    </row>
    <row r="172" spans="1:29">
      <c r="A172" s="8">
        <v>171</v>
      </c>
      <c r="B172" s="8" t="s">
        <v>838</v>
      </c>
      <c r="C172" s="8" t="s">
        <v>814</v>
      </c>
      <c r="D172" s="8" t="s">
        <v>815</v>
      </c>
      <c r="E172" s="8">
        <v>4</v>
      </c>
      <c r="F172" s="8" t="str">
        <f t="shared" si="14"/>
        <v>Sub-indicator</v>
      </c>
      <c r="G172" s="8">
        <v>0</v>
      </c>
      <c r="H172" s="8" t="s">
        <v>839</v>
      </c>
      <c r="I172" s="8" t="s">
        <v>255</v>
      </c>
      <c r="J172" s="8" t="str">
        <f t="shared" si="15"/>
        <v>PARTICIPATION</v>
      </c>
      <c r="K172" s="8" t="str">
        <f t="shared" si="16"/>
        <v>PARTICIPATION, RIGHTS &amp; INCLUSION</v>
      </c>
      <c r="L172" s="8" t="s">
        <v>33</v>
      </c>
      <c r="M172" s="8" t="s">
        <v>31</v>
      </c>
      <c r="N172" s="8" t="s">
        <v>31</v>
      </c>
      <c r="O172" s="8" t="s">
        <v>31</v>
      </c>
      <c r="P172" s="8" t="s">
        <v>31</v>
      </c>
      <c r="Q172" s="9" t="s">
        <v>840</v>
      </c>
      <c r="R172" s="8" t="s">
        <v>31</v>
      </c>
      <c r="S172" s="10" t="s">
        <v>31</v>
      </c>
      <c r="T172" s="8" t="s">
        <v>31</v>
      </c>
      <c r="U172" s="8" t="s">
        <v>31</v>
      </c>
      <c r="V172" s="8" t="s">
        <v>31</v>
      </c>
      <c r="W172" s="8" t="s">
        <v>31</v>
      </c>
      <c r="X172" s="8" t="s">
        <v>31</v>
      </c>
      <c r="Y172" s="8" t="s">
        <v>31</v>
      </c>
      <c r="Z172" s="8" t="s">
        <v>31</v>
      </c>
    </row>
    <row r="173" spans="1:29">
      <c r="A173" s="8">
        <v>172</v>
      </c>
      <c r="B173" s="8" t="s">
        <v>841</v>
      </c>
      <c r="C173" s="8" t="s">
        <v>838</v>
      </c>
      <c r="D173" s="8" t="s">
        <v>839</v>
      </c>
      <c r="E173" s="8">
        <v>5</v>
      </c>
      <c r="F173" s="8" t="str">
        <f t="shared" si="14"/>
        <v>Sub-sub-indicator</v>
      </c>
      <c r="G173" s="8">
        <v>1</v>
      </c>
      <c r="H173" s="8" t="s">
        <v>842</v>
      </c>
      <c r="I173" s="8" t="s">
        <v>149</v>
      </c>
      <c r="J173" s="8" t="str">
        <f t="shared" si="15"/>
        <v>PARTICIPATION</v>
      </c>
      <c r="K173" s="8" t="str">
        <f t="shared" si="16"/>
        <v>PARTICIPATION, RIGHTS &amp; INCLUSION</v>
      </c>
      <c r="L173" s="8" t="s">
        <v>150</v>
      </c>
      <c r="M173" s="8" t="s">
        <v>151</v>
      </c>
      <c r="N173" s="8" t="s">
        <v>31</v>
      </c>
      <c r="O173" s="8" t="s">
        <v>31</v>
      </c>
      <c r="P173" s="8" t="s">
        <v>31</v>
      </c>
      <c r="Q173" s="9" t="s">
        <v>843</v>
      </c>
      <c r="R173" s="8" t="s">
        <v>53</v>
      </c>
      <c r="S173" s="10">
        <v>45432</v>
      </c>
      <c r="T173" s="8" t="s">
        <v>844</v>
      </c>
      <c r="U173" s="8" t="s">
        <v>154</v>
      </c>
      <c r="V173" s="8" t="s">
        <v>155</v>
      </c>
      <c r="W173" s="8" t="s">
        <v>156</v>
      </c>
      <c r="X173" s="8" t="s">
        <v>58</v>
      </c>
      <c r="Y173" s="8" t="s">
        <v>58</v>
      </c>
      <c r="Z173" s="8" t="s">
        <v>31</v>
      </c>
      <c r="AA173" s="8" t="s">
        <v>845</v>
      </c>
    </row>
    <row r="174" spans="1:29">
      <c r="A174" s="8">
        <v>173</v>
      </c>
      <c r="B174" s="8" t="s">
        <v>846</v>
      </c>
      <c r="C174" s="8" t="s">
        <v>838</v>
      </c>
      <c r="D174" s="8" t="s">
        <v>839</v>
      </c>
      <c r="E174" s="8">
        <v>5</v>
      </c>
      <c r="F174" s="8" t="str">
        <f t="shared" si="14"/>
        <v>Sub-sub-indicator</v>
      </c>
      <c r="G174" s="8">
        <v>1</v>
      </c>
      <c r="H174" s="8" t="s">
        <v>847</v>
      </c>
      <c r="I174" s="8" t="s">
        <v>267</v>
      </c>
      <c r="J174" s="8" t="str">
        <f t="shared" si="15"/>
        <v>PARTICIPATION</v>
      </c>
      <c r="K174" s="8" t="str">
        <f t="shared" si="16"/>
        <v>PARTICIPATION, RIGHTS &amp; INCLUSION</v>
      </c>
      <c r="L174" s="8" t="s">
        <v>268</v>
      </c>
      <c r="M174" s="8" t="s">
        <v>269</v>
      </c>
      <c r="N174" s="8" t="s">
        <v>31</v>
      </c>
      <c r="O174" s="8" t="s">
        <v>31</v>
      </c>
      <c r="P174" s="8" t="s">
        <v>31</v>
      </c>
      <c r="Q174" s="9" t="s">
        <v>848</v>
      </c>
      <c r="R174" s="8" t="s">
        <v>53</v>
      </c>
      <c r="S174" s="10">
        <v>45481</v>
      </c>
      <c r="T174" s="8" t="s">
        <v>849</v>
      </c>
      <c r="U174" s="8" t="s">
        <v>196</v>
      </c>
      <c r="V174" s="8" t="s">
        <v>155</v>
      </c>
      <c r="W174" s="8" t="s">
        <v>272</v>
      </c>
      <c r="X174" s="8" t="s">
        <v>58</v>
      </c>
      <c r="Y174" s="8" t="s">
        <v>58</v>
      </c>
      <c r="Z174" s="8" t="s">
        <v>31</v>
      </c>
      <c r="AA174" s="8" t="s">
        <v>273</v>
      </c>
      <c r="AC174" s="8" t="s">
        <v>850</v>
      </c>
    </row>
    <row r="175" spans="1:29">
      <c r="A175" s="8">
        <v>174</v>
      </c>
      <c r="B175" s="8" t="s">
        <v>851</v>
      </c>
      <c r="C175" s="8" t="s">
        <v>838</v>
      </c>
      <c r="D175" s="8" t="s">
        <v>839</v>
      </c>
      <c r="E175" s="8">
        <v>5</v>
      </c>
      <c r="F175" s="8" t="str">
        <f t="shared" si="14"/>
        <v>Sub-sub-indicator</v>
      </c>
      <c r="G175" s="8">
        <v>1</v>
      </c>
      <c r="H175" s="8" t="s">
        <v>852</v>
      </c>
      <c r="I175" s="8" t="s">
        <v>267</v>
      </c>
      <c r="J175" s="8" t="str">
        <f t="shared" si="15"/>
        <v>PARTICIPATION</v>
      </c>
      <c r="K175" s="8" t="str">
        <f t="shared" si="16"/>
        <v>PARTICIPATION, RIGHTS &amp; INCLUSION</v>
      </c>
      <c r="L175" s="8" t="s">
        <v>268</v>
      </c>
      <c r="M175" s="8" t="s">
        <v>269</v>
      </c>
      <c r="N175" s="8" t="s">
        <v>31</v>
      </c>
      <c r="O175" s="8" t="s">
        <v>31</v>
      </c>
      <c r="P175" s="8" t="s">
        <v>31</v>
      </c>
      <c r="Q175" s="9" t="s">
        <v>853</v>
      </c>
      <c r="R175" s="8" t="s">
        <v>53</v>
      </c>
      <c r="S175" s="10">
        <v>45481</v>
      </c>
      <c r="T175" s="8" t="s">
        <v>854</v>
      </c>
      <c r="U175" s="8" t="s">
        <v>196</v>
      </c>
      <c r="V175" s="8" t="s">
        <v>155</v>
      </c>
      <c r="W175" s="8" t="s">
        <v>272</v>
      </c>
      <c r="X175" s="8" t="s">
        <v>58</v>
      </c>
      <c r="Y175" s="8" t="s">
        <v>58</v>
      </c>
      <c r="Z175" s="8" t="s">
        <v>31</v>
      </c>
      <c r="AA175" s="8" t="s">
        <v>273</v>
      </c>
    </row>
    <row r="176" spans="1:29">
      <c r="A176" s="8">
        <v>175</v>
      </c>
      <c r="B176" s="8" t="s">
        <v>855</v>
      </c>
      <c r="C176" s="8" t="s">
        <v>758</v>
      </c>
      <c r="D176" s="8" t="s">
        <v>759</v>
      </c>
      <c r="E176" s="12">
        <v>3</v>
      </c>
      <c r="F176" s="12" t="s">
        <v>186</v>
      </c>
      <c r="G176" s="8">
        <v>0</v>
      </c>
      <c r="H176" s="12" t="s">
        <v>856</v>
      </c>
      <c r="I176" s="8" t="s">
        <v>149</v>
      </c>
      <c r="J176" s="8" t="str">
        <f t="shared" si="15"/>
        <v>PARTICIPATION</v>
      </c>
      <c r="K176" s="8" t="str">
        <f t="shared" si="16"/>
        <v>PARTICIPATION, RIGHTS &amp; INCLUSION</v>
      </c>
      <c r="L176" s="8" t="s">
        <v>33</v>
      </c>
      <c r="M176" s="8" t="s">
        <v>31</v>
      </c>
      <c r="N176" s="8" t="s">
        <v>31</v>
      </c>
      <c r="O176" s="8" t="s">
        <v>31</v>
      </c>
      <c r="P176" s="8" t="s">
        <v>31</v>
      </c>
      <c r="Q176" s="9" t="s">
        <v>857</v>
      </c>
      <c r="R176" s="8" t="s">
        <v>31</v>
      </c>
      <c r="S176" s="10" t="s">
        <v>31</v>
      </c>
      <c r="T176" s="8" t="s">
        <v>31</v>
      </c>
      <c r="U176" s="8" t="s">
        <v>31</v>
      </c>
      <c r="V176" s="8" t="s">
        <v>31</v>
      </c>
      <c r="W176" s="8" t="s">
        <v>31</v>
      </c>
      <c r="X176" s="8" t="s">
        <v>31</v>
      </c>
      <c r="Y176" s="8" t="s">
        <v>31</v>
      </c>
      <c r="Z176" s="8" t="s">
        <v>31</v>
      </c>
    </row>
    <row r="177" spans="1:29">
      <c r="A177" s="8">
        <v>176</v>
      </c>
      <c r="B177" s="8" t="s">
        <v>858</v>
      </c>
      <c r="C177" s="8" t="s">
        <v>855</v>
      </c>
      <c r="D177" s="8" t="s">
        <v>856</v>
      </c>
      <c r="E177" s="8">
        <v>4</v>
      </c>
      <c r="F177" s="8" t="s">
        <v>136</v>
      </c>
      <c r="G177" s="8">
        <v>1</v>
      </c>
      <c r="H177" s="8" t="s">
        <v>859</v>
      </c>
      <c r="I177" s="8" t="s">
        <v>149</v>
      </c>
      <c r="J177" s="8" t="str">
        <f t="shared" si="15"/>
        <v>PARTICIPATION</v>
      </c>
      <c r="K177" s="8" t="str">
        <f t="shared" si="16"/>
        <v>PARTICIPATION, RIGHTS &amp; INCLUSION</v>
      </c>
      <c r="L177" s="8" t="s">
        <v>150</v>
      </c>
      <c r="M177" s="8" t="s">
        <v>151</v>
      </c>
      <c r="N177" s="8" t="s">
        <v>31</v>
      </c>
      <c r="O177" s="8" t="s">
        <v>31</v>
      </c>
      <c r="P177" s="8" t="s">
        <v>31</v>
      </c>
      <c r="Q177" s="9" t="s">
        <v>860</v>
      </c>
      <c r="R177" s="8" t="s">
        <v>53</v>
      </c>
      <c r="S177" s="10">
        <v>45485</v>
      </c>
      <c r="T177" s="8" t="s">
        <v>861</v>
      </c>
      <c r="U177" s="8" t="s">
        <v>862</v>
      </c>
      <c r="V177" s="8" t="s">
        <v>155</v>
      </c>
      <c r="W177" s="8" t="s">
        <v>156</v>
      </c>
      <c r="X177" s="8" t="s">
        <v>58</v>
      </c>
      <c r="Y177" s="8" t="s">
        <v>58</v>
      </c>
      <c r="Z177" s="8" t="s">
        <v>31</v>
      </c>
      <c r="AB177" s="8" t="s">
        <v>157</v>
      </c>
    </row>
    <row r="178" spans="1:29">
      <c r="A178" s="8">
        <v>177</v>
      </c>
      <c r="B178" s="8" t="s">
        <v>863</v>
      </c>
      <c r="C178" s="8" t="s">
        <v>855</v>
      </c>
      <c r="D178" s="8" t="s">
        <v>856</v>
      </c>
      <c r="E178" s="8">
        <v>4</v>
      </c>
      <c r="F178" s="8" t="s">
        <v>136</v>
      </c>
      <c r="G178" s="8">
        <v>1</v>
      </c>
      <c r="H178" s="8" t="s">
        <v>864</v>
      </c>
      <c r="I178" s="8" t="s">
        <v>149</v>
      </c>
      <c r="J178" s="8" t="str">
        <f t="shared" si="15"/>
        <v>PARTICIPATION</v>
      </c>
      <c r="K178" s="8" t="str">
        <f t="shared" si="16"/>
        <v>PARTICIPATION, RIGHTS &amp; INCLUSION</v>
      </c>
      <c r="L178" s="8" t="s">
        <v>150</v>
      </c>
      <c r="M178" s="8" t="s">
        <v>151</v>
      </c>
      <c r="N178" s="8" t="s">
        <v>31</v>
      </c>
      <c r="O178" s="8" t="s">
        <v>31</v>
      </c>
      <c r="P178" s="8" t="s">
        <v>31</v>
      </c>
      <c r="Q178" s="9" t="s">
        <v>865</v>
      </c>
      <c r="R178" s="8" t="s">
        <v>53</v>
      </c>
      <c r="S178" s="10">
        <v>45485</v>
      </c>
      <c r="T178" s="8" t="s">
        <v>866</v>
      </c>
      <c r="U178" s="8" t="s">
        <v>229</v>
      </c>
      <c r="V178" s="8" t="s">
        <v>155</v>
      </c>
      <c r="W178" s="8" t="s">
        <v>156</v>
      </c>
      <c r="X178" s="8" t="s">
        <v>58</v>
      </c>
      <c r="Y178" s="8" t="s">
        <v>58</v>
      </c>
      <c r="Z178" s="8" t="s">
        <v>31</v>
      </c>
      <c r="AB178" s="8" t="s">
        <v>157</v>
      </c>
    </row>
    <row r="179" spans="1:29">
      <c r="A179" s="8">
        <v>178</v>
      </c>
      <c r="B179" s="8" t="s">
        <v>867</v>
      </c>
      <c r="C179" s="8" t="s">
        <v>855</v>
      </c>
      <c r="D179" s="8" t="s">
        <v>856</v>
      </c>
      <c r="E179" s="8">
        <v>4</v>
      </c>
      <c r="F179" s="8" t="s">
        <v>136</v>
      </c>
      <c r="G179" s="8">
        <v>1</v>
      </c>
      <c r="H179" s="8" t="s">
        <v>868</v>
      </c>
      <c r="I179" s="8" t="s">
        <v>149</v>
      </c>
      <c r="J179" s="8" t="str">
        <f t="shared" si="15"/>
        <v>PARTICIPATION</v>
      </c>
      <c r="K179" s="8" t="str">
        <f t="shared" si="16"/>
        <v>PARTICIPATION, RIGHTS &amp; INCLUSION</v>
      </c>
      <c r="L179" s="8" t="s">
        <v>150</v>
      </c>
      <c r="M179" s="8" t="s">
        <v>151</v>
      </c>
      <c r="N179" s="8" t="s">
        <v>31</v>
      </c>
      <c r="O179" s="8" t="s">
        <v>31</v>
      </c>
      <c r="P179" s="8" t="s">
        <v>31</v>
      </c>
      <c r="Q179" s="9" t="s">
        <v>869</v>
      </c>
      <c r="R179" s="8" t="s">
        <v>53</v>
      </c>
      <c r="S179" s="10">
        <v>45485</v>
      </c>
      <c r="T179" s="8" t="s">
        <v>870</v>
      </c>
      <c r="U179" s="8" t="s">
        <v>871</v>
      </c>
      <c r="V179" s="8" t="s">
        <v>155</v>
      </c>
      <c r="W179" s="8" t="s">
        <v>156</v>
      </c>
      <c r="X179" s="8" t="s">
        <v>58</v>
      </c>
      <c r="Y179" s="8" t="s">
        <v>58</v>
      </c>
      <c r="Z179" s="8" t="s">
        <v>31</v>
      </c>
      <c r="AB179" s="8" t="s">
        <v>157</v>
      </c>
    </row>
    <row r="180" spans="1:29">
      <c r="A180" s="8">
        <v>179</v>
      </c>
      <c r="B180" s="8" t="s">
        <v>872</v>
      </c>
      <c r="C180" s="8" t="s">
        <v>855</v>
      </c>
      <c r="D180" s="8" t="s">
        <v>856</v>
      </c>
      <c r="E180" s="8">
        <v>4</v>
      </c>
      <c r="F180" s="8" t="s">
        <v>136</v>
      </c>
      <c r="G180" s="8">
        <v>1</v>
      </c>
      <c r="H180" s="8" t="s">
        <v>873</v>
      </c>
      <c r="I180" s="8" t="s">
        <v>149</v>
      </c>
      <c r="J180" s="8" t="str">
        <f t="shared" si="15"/>
        <v>PARTICIPATION</v>
      </c>
      <c r="K180" s="8" t="str">
        <f t="shared" si="16"/>
        <v>PARTICIPATION, RIGHTS &amp; INCLUSION</v>
      </c>
      <c r="L180" s="8" t="s">
        <v>150</v>
      </c>
      <c r="M180" s="8" t="s">
        <v>151</v>
      </c>
      <c r="N180" s="8" t="s">
        <v>31</v>
      </c>
      <c r="O180" s="8" t="s">
        <v>31</v>
      </c>
      <c r="P180" s="8" t="s">
        <v>31</v>
      </c>
      <c r="Q180" s="9" t="s">
        <v>874</v>
      </c>
      <c r="R180" s="8" t="s">
        <v>53</v>
      </c>
      <c r="S180" s="10">
        <v>45432</v>
      </c>
      <c r="T180" s="8" t="s">
        <v>875</v>
      </c>
      <c r="U180" s="8" t="s">
        <v>871</v>
      </c>
      <c r="V180" s="8" t="s">
        <v>155</v>
      </c>
      <c r="W180" s="8" t="s">
        <v>156</v>
      </c>
      <c r="X180" s="8" t="s">
        <v>58</v>
      </c>
      <c r="Y180" s="8" t="s">
        <v>58</v>
      </c>
      <c r="Z180" s="8" t="s">
        <v>31</v>
      </c>
      <c r="AB180" s="8" t="s">
        <v>157</v>
      </c>
    </row>
    <row r="181" spans="1:29">
      <c r="A181" s="8">
        <v>180</v>
      </c>
      <c r="B181" s="8" t="s">
        <v>876</v>
      </c>
      <c r="C181" s="8" t="s">
        <v>855</v>
      </c>
      <c r="D181" s="8" t="s">
        <v>856</v>
      </c>
      <c r="E181" s="8">
        <v>4</v>
      </c>
      <c r="F181" s="8" t="s">
        <v>136</v>
      </c>
      <c r="G181" s="8">
        <v>1</v>
      </c>
      <c r="H181" s="8" t="s">
        <v>877</v>
      </c>
      <c r="I181" s="8" t="s">
        <v>149</v>
      </c>
      <c r="J181" s="8" t="str">
        <f t="shared" si="15"/>
        <v>PARTICIPATION</v>
      </c>
      <c r="K181" s="8" t="str">
        <f t="shared" si="16"/>
        <v>PARTICIPATION, RIGHTS &amp; INCLUSION</v>
      </c>
      <c r="L181" s="8" t="s">
        <v>150</v>
      </c>
      <c r="M181" s="8" t="s">
        <v>151</v>
      </c>
      <c r="N181" s="8" t="s">
        <v>31</v>
      </c>
      <c r="O181" s="8" t="s">
        <v>31</v>
      </c>
      <c r="P181" s="8" t="s">
        <v>31</v>
      </c>
      <c r="Q181" s="9" t="s">
        <v>878</v>
      </c>
      <c r="R181" s="8" t="s">
        <v>53</v>
      </c>
      <c r="S181" s="10">
        <v>45485</v>
      </c>
      <c r="T181" s="8" t="s">
        <v>879</v>
      </c>
      <c r="U181" s="8" t="s">
        <v>871</v>
      </c>
      <c r="V181" s="8" t="s">
        <v>155</v>
      </c>
      <c r="W181" s="8" t="s">
        <v>156</v>
      </c>
      <c r="X181" s="8" t="s">
        <v>58</v>
      </c>
      <c r="Y181" s="8" t="s">
        <v>58</v>
      </c>
      <c r="Z181" s="8" t="s">
        <v>31</v>
      </c>
      <c r="AB181" s="8" t="s">
        <v>157</v>
      </c>
    </row>
    <row r="182" spans="1:29">
      <c r="A182" s="8">
        <v>181</v>
      </c>
      <c r="B182" s="8" t="s">
        <v>880</v>
      </c>
      <c r="C182" s="8" t="s">
        <v>758</v>
      </c>
      <c r="D182" s="8" t="s">
        <v>759</v>
      </c>
      <c r="E182" s="12">
        <v>3</v>
      </c>
      <c r="F182" s="12" t="s">
        <v>186</v>
      </c>
      <c r="G182" s="8">
        <v>0</v>
      </c>
      <c r="H182" s="12" t="s">
        <v>881</v>
      </c>
      <c r="I182" s="8" t="s">
        <v>188</v>
      </c>
      <c r="J182" s="8" t="str">
        <f t="shared" si="15"/>
        <v>PARTICIPATION</v>
      </c>
      <c r="K182" s="8" t="str">
        <f t="shared" si="16"/>
        <v>PARTICIPATION, RIGHTS &amp; INCLUSION</v>
      </c>
      <c r="L182" s="8" t="s">
        <v>33</v>
      </c>
      <c r="M182" s="8" t="s">
        <v>31</v>
      </c>
      <c r="N182" s="8" t="s">
        <v>31</v>
      </c>
      <c r="O182" s="8" t="s">
        <v>31</v>
      </c>
      <c r="P182" s="8" t="s">
        <v>31</v>
      </c>
      <c r="Q182" s="9" t="s">
        <v>882</v>
      </c>
      <c r="R182" s="8" t="s">
        <v>31</v>
      </c>
      <c r="S182" s="10" t="s">
        <v>31</v>
      </c>
      <c r="T182" s="8" t="s">
        <v>31</v>
      </c>
      <c r="U182" s="8" t="s">
        <v>31</v>
      </c>
      <c r="V182" s="8" t="s">
        <v>31</v>
      </c>
      <c r="W182" s="8" t="s">
        <v>31</v>
      </c>
      <c r="X182" s="8" t="s">
        <v>31</v>
      </c>
      <c r="Y182" s="8" t="s">
        <v>31</v>
      </c>
      <c r="Z182" s="8" t="s">
        <v>31</v>
      </c>
    </row>
    <row r="183" spans="1:29">
      <c r="A183" s="8">
        <v>182</v>
      </c>
      <c r="B183" s="8" t="s">
        <v>883</v>
      </c>
      <c r="C183" s="8" t="s">
        <v>880</v>
      </c>
      <c r="D183" s="8" t="s">
        <v>881</v>
      </c>
      <c r="E183" s="8">
        <v>4</v>
      </c>
      <c r="F183" s="8" t="s">
        <v>136</v>
      </c>
      <c r="G183" s="8">
        <v>0</v>
      </c>
      <c r="H183" s="8" t="s">
        <v>884</v>
      </c>
      <c r="I183" s="8" t="s">
        <v>188</v>
      </c>
      <c r="J183" s="8" t="str">
        <f t="shared" si="15"/>
        <v>PARTICIPATION</v>
      </c>
      <c r="K183" s="8" t="str">
        <f t="shared" si="16"/>
        <v>PARTICIPATION, RIGHTS &amp; INCLUSION</v>
      </c>
      <c r="L183" s="8" t="s">
        <v>33</v>
      </c>
      <c r="M183" s="8" t="s">
        <v>31</v>
      </c>
      <c r="N183" s="8" t="s">
        <v>31</v>
      </c>
      <c r="O183" s="8" t="s">
        <v>31</v>
      </c>
      <c r="P183" s="8" t="s">
        <v>31</v>
      </c>
      <c r="Q183" s="9" t="s">
        <v>885</v>
      </c>
      <c r="R183" s="8" t="s">
        <v>31</v>
      </c>
      <c r="S183" s="10" t="s">
        <v>31</v>
      </c>
      <c r="T183" s="8" t="s">
        <v>31</v>
      </c>
      <c r="U183" s="8" t="s">
        <v>31</v>
      </c>
      <c r="V183" s="8" t="s">
        <v>31</v>
      </c>
      <c r="W183" s="8" t="s">
        <v>31</v>
      </c>
      <c r="X183" s="8" t="s">
        <v>31</v>
      </c>
      <c r="Y183" s="8" t="s">
        <v>31</v>
      </c>
      <c r="Z183" s="8" t="s">
        <v>31</v>
      </c>
    </row>
    <row r="184" spans="1:29">
      <c r="A184" s="8">
        <v>183</v>
      </c>
      <c r="B184" s="8" t="s">
        <v>886</v>
      </c>
      <c r="C184" s="8" t="s">
        <v>883</v>
      </c>
      <c r="D184" s="8" t="s">
        <v>884</v>
      </c>
      <c r="E184" s="8">
        <v>5</v>
      </c>
      <c r="F184" s="8" t="s">
        <v>92</v>
      </c>
      <c r="G184" s="8">
        <v>1</v>
      </c>
      <c r="H184" s="8" t="s">
        <v>887</v>
      </c>
      <c r="I184" s="8" t="s">
        <v>188</v>
      </c>
      <c r="J184" s="8" t="str">
        <f t="shared" si="15"/>
        <v>PARTICIPATION</v>
      </c>
      <c r="K184" s="8" t="str">
        <f t="shared" si="16"/>
        <v>PARTICIPATION, RIGHTS &amp; INCLUSION</v>
      </c>
      <c r="L184" s="8" t="s">
        <v>192</v>
      </c>
      <c r="M184" s="8" t="s">
        <v>193</v>
      </c>
      <c r="N184" s="8" t="s">
        <v>31</v>
      </c>
      <c r="O184" s="8" t="s">
        <v>31</v>
      </c>
      <c r="P184" s="8" t="s">
        <v>31</v>
      </c>
      <c r="Q184" s="8" t="s">
        <v>888</v>
      </c>
      <c r="R184" s="8" t="s">
        <v>53</v>
      </c>
      <c r="S184" s="10">
        <v>45474</v>
      </c>
      <c r="T184" s="8" t="s">
        <v>889</v>
      </c>
      <c r="U184" s="8" t="s">
        <v>196</v>
      </c>
      <c r="V184" s="8" t="s">
        <v>197</v>
      </c>
      <c r="W184" s="8" t="s">
        <v>198</v>
      </c>
      <c r="X184" s="8" t="s">
        <v>199</v>
      </c>
      <c r="Y184" s="8" t="s">
        <v>200</v>
      </c>
      <c r="Z184" s="8" t="s">
        <v>31</v>
      </c>
      <c r="AA184" s="8" t="s">
        <v>201</v>
      </c>
      <c r="AB184" s="8" t="s">
        <v>202</v>
      </c>
    </row>
    <row r="185" spans="1:29">
      <c r="A185" s="8">
        <v>184</v>
      </c>
      <c r="B185" s="8" t="s">
        <v>890</v>
      </c>
      <c r="C185" s="8" t="s">
        <v>883</v>
      </c>
      <c r="D185" s="8" t="s">
        <v>884</v>
      </c>
      <c r="E185" s="8">
        <v>5</v>
      </c>
      <c r="F185" s="8" t="s">
        <v>92</v>
      </c>
      <c r="G185" s="8">
        <v>1</v>
      </c>
      <c r="H185" s="8" t="s">
        <v>891</v>
      </c>
      <c r="I185" s="8" t="s">
        <v>188</v>
      </c>
      <c r="J185" s="8" t="str">
        <f t="shared" si="15"/>
        <v>PARTICIPATION</v>
      </c>
      <c r="K185" s="8" t="str">
        <f t="shared" si="16"/>
        <v>PARTICIPATION, RIGHTS &amp; INCLUSION</v>
      </c>
      <c r="L185" s="8" t="s">
        <v>192</v>
      </c>
      <c r="M185" s="8" t="s">
        <v>193</v>
      </c>
      <c r="N185" s="8" t="s">
        <v>31</v>
      </c>
      <c r="O185" s="8" t="s">
        <v>31</v>
      </c>
      <c r="P185" s="8" t="s">
        <v>31</v>
      </c>
      <c r="Q185" s="8" t="s">
        <v>892</v>
      </c>
      <c r="R185" s="8" t="s">
        <v>53</v>
      </c>
      <c r="S185" s="10">
        <v>45474</v>
      </c>
      <c r="T185" s="8" t="s">
        <v>893</v>
      </c>
      <c r="U185" s="8" t="s">
        <v>196</v>
      </c>
      <c r="V185" s="8" t="s">
        <v>197</v>
      </c>
      <c r="W185" s="8" t="s">
        <v>198</v>
      </c>
      <c r="X185" s="8" t="s">
        <v>199</v>
      </c>
      <c r="Y185" s="8" t="s">
        <v>200</v>
      </c>
      <c r="Z185" s="8" t="s">
        <v>31</v>
      </c>
      <c r="AA185" s="8" t="s">
        <v>201</v>
      </c>
      <c r="AB185" s="8" t="s">
        <v>202</v>
      </c>
    </row>
    <row r="186" spans="1:29">
      <c r="A186" s="8">
        <v>185</v>
      </c>
      <c r="B186" s="8" t="s">
        <v>894</v>
      </c>
      <c r="C186" s="8" t="s">
        <v>880</v>
      </c>
      <c r="D186" s="8" t="s">
        <v>881</v>
      </c>
      <c r="E186" s="8">
        <v>4</v>
      </c>
      <c r="F186" s="8" t="s">
        <v>136</v>
      </c>
      <c r="G186" s="8">
        <v>1</v>
      </c>
      <c r="H186" s="8" t="s">
        <v>895</v>
      </c>
      <c r="I186" s="8" t="s">
        <v>188</v>
      </c>
      <c r="J186" s="8" t="str">
        <f t="shared" si="15"/>
        <v>PARTICIPATION</v>
      </c>
      <c r="K186" s="8" t="str">
        <f t="shared" si="16"/>
        <v>PARTICIPATION, RIGHTS &amp; INCLUSION</v>
      </c>
      <c r="L186" s="8" t="s">
        <v>192</v>
      </c>
      <c r="M186" s="8" t="s">
        <v>193</v>
      </c>
      <c r="N186" s="8" t="s">
        <v>31</v>
      </c>
      <c r="O186" s="8" t="s">
        <v>31</v>
      </c>
      <c r="P186" s="8" t="s">
        <v>31</v>
      </c>
      <c r="Q186" s="8" t="s">
        <v>896</v>
      </c>
      <c r="R186" s="8" t="s">
        <v>53</v>
      </c>
      <c r="S186" s="10">
        <v>45489</v>
      </c>
      <c r="T186" s="8" t="s">
        <v>897</v>
      </c>
      <c r="U186" s="8" t="s">
        <v>196</v>
      </c>
      <c r="V186" s="8" t="s">
        <v>197</v>
      </c>
      <c r="W186" s="8" t="s">
        <v>198</v>
      </c>
      <c r="X186" s="8" t="s">
        <v>199</v>
      </c>
      <c r="Y186" s="8" t="s">
        <v>200</v>
      </c>
      <c r="Z186" s="8" t="s">
        <v>31</v>
      </c>
      <c r="AA186" s="8" t="s">
        <v>898</v>
      </c>
      <c r="AB186" s="8" t="s">
        <v>899</v>
      </c>
      <c r="AC186" s="8" t="s">
        <v>202</v>
      </c>
    </row>
    <row r="187" spans="1:29">
      <c r="A187" s="8">
        <v>186</v>
      </c>
      <c r="B187" s="8" t="s">
        <v>900</v>
      </c>
      <c r="C187" s="8" t="s">
        <v>880</v>
      </c>
      <c r="D187" s="8" t="s">
        <v>881</v>
      </c>
      <c r="E187" s="8">
        <v>4</v>
      </c>
      <c r="F187" s="8" t="s">
        <v>136</v>
      </c>
      <c r="G187" s="8">
        <v>1</v>
      </c>
      <c r="H187" s="8" t="s">
        <v>901</v>
      </c>
      <c r="I187" s="8" t="s">
        <v>188</v>
      </c>
      <c r="J187" s="8" t="str">
        <f t="shared" si="15"/>
        <v>PARTICIPATION</v>
      </c>
      <c r="K187" s="8" t="str">
        <f t="shared" si="16"/>
        <v>PARTICIPATION, RIGHTS &amp; INCLUSION</v>
      </c>
      <c r="L187" s="8" t="s">
        <v>192</v>
      </c>
      <c r="M187" s="8" t="s">
        <v>193</v>
      </c>
      <c r="N187" s="8" t="s">
        <v>31</v>
      </c>
      <c r="O187" s="8" t="s">
        <v>31</v>
      </c>
      <c r="P187" s="8" t="s">
        <v>31</v>
      </c>
      <c r="Q187" s="8" t="s">
        <v>902</v>
      </c>
      <c r="R187" s="8" t="s">
        <v>53</v>
      </c>
      <c r="S187" s="10">
        <v>45489</v>
      </c>
      <c r="T187" s="8" t="s">
        <v>903</v>
      </c>
      <c r="U187" s="8" t="s">
        <v>196</v>
      </c>
      <c r="V187" s="8" t="s">
        <v>155</v>
      </c>
      <c r="W187" s="8" t="s">
        <v>198</v>
      </c>
      <c r="X187" s="8" t="s">
        <v>199</v>
      </c>
      <c r="Y187" s="8" t="s">
        <v>200</v>
      </c>
      <c r="Z187" s="8" t="s">
        <v>31</v>
      </c>
      <c r="AA187" s="8" t="s">
        <v>201</v>
      </c>
      <c r="AB187" s="8" t="s">
        <v>202</v>
      </c>
    </row>
    <row r="188" spans="1:29" s="6" customFormat="1">
      <c r="A188" s="6">
        <v>187</v>
      </c>
      <c r="B188" s="6" t="s">
        <v>904</v>
      </c>
      <c r="C188" s="6" t="s">
        <v>755</v>
      </c>
      <c r="D188" s="6" t="s">
        <v>756</v>
      </c>
      <c r="E188" s="6">
        <v>2</v>
      </c>
      <c r="F188" s="6" t="str">
        <f t="shared" si="14"/>
        <v>Sub-category</v>
      </c>
      <c r="G188" s="6">
        <v>0</v>
      </c>
      <c r="H188" s="6" t="s">
        <v>904</v>
      </c>
      <c r="I188" s="7" t="s">
        <v>31</v>
      </c>
      <c r="J188" s="6" t="s">
        <v>31</v>
      </c>
      <c r="K188" s="6" t="str">
        <f>H152</f>
        <v>PARTICIPATION, RIGHTS &amp; INCLUSION</v>
      </c>
      <c r="L188" s="6" t="s">
        <v>33</v>
      </c>
      <c r="M188" s="6" t="s">
        <v>31</v>
      </c>
      <c r="N188" s="6" t="s">
        <v>31</v>
      </c>
      <c r="O188" s="6" t="s">
        <v>31</v>
      </c>
      <c r="P188" s="6" t="s">
        <v>31</v>
      </c>
      <c r="Q188" s="6" t="s">
        <v>905</v>
      </c>
      <c r="R188" s="6" t="s">
        <v>31</v>
      </c>
      <c r="S188" s="6" t="s">
        <v>31</v>
      </c>
      <c r="T188" s="6" t="s">
        <v>31</v>
      </c>
      <c r="U188" s="6" t="s">
        <v>31</v>
      </c>
      <c r="V188" s="6" t="s">
        <v>31</v>
      </c>
      <c r="W188" s="6" t="s">
        <v>31</v>
      </c>
      <c r="X188" s="6" t="s">
        <v>31</v>
      </c>
      <c r="Y188" s="6" t="s">
        <v>31</v>
      </c>
      <c r="Z188" s="6" t="s">
        <v>31</v>
      </c>
    </row>
    <row r="189" spans="1:29">
      <c r="A189" s="8">
        <v>188</v>
      </c>
      <c r="B189" s="8" t="s">
        <v>906</v>
      </c>
      <c r="C189" s="8" t="s">
        <v>904</v>
      </c>
      <c r="D189" s="8" t="s">
        <v>904</v>
      </c>
      <c r="E189" s="12">
        <v>3</v>
      </c>
      <c r="F189" s="12" t="str">
        <f t="shared" si="14"/>
        <v>Indicator</v>
      </c>
      <c r="G189" s="8">
        <v>0</v>
      </c>
      <c r="H189" s="12" t="s">
        <v>907</v>
      </c>
      <c r="I189" s="8" t="s">
        <v>908</v>
      </c>
      <c r="J189" s="8" t="str">
        <f>$H$188</f>
        <v>RIGHTS</v>
      </c>
      <c r="K189" s="8" t="str">
        <f>$H$152</f>
        <v>PARTICIPATION, RIGHTS &amp; INCLUSION</v>
      </c>
      <c r="L189" s="8" t="s">
        <v>33</v>
      </c>
      <c r="M189" s="8" t="s">
        <v>31</v>
      </c>
      <c r="N189" s="8" t="s">
        <v>31</v>
      </c>
      <c r="O189" s="8" t="s">
        <v>31</v>
      </c>
      <c r="P189" s="8" t="s">
        <v>31</v>
      </c>
      <c r="Q189" s="9" t="s">
        <v>909</v>
      </c>
      <c r="R189" s="8" t="s">
        <v>31</v>
      </c>
      <c r="S189" s="13" t="s">
        <v>31</v>
      </c>
      <c r="T189" s="8" t="s">
        <v>31</v>
      </c>
      <c r="U189" s="8" t="s">
        <v>31</v>
      </c>
      <c r="V189" s="8" t="s">
        <v>31</v>
      </c>
      <c r="W189" s="8" t="s">
        <v>31</v>
      </c>
      <c r="X189" s="8" t="s">
        <v>31</v>
      </c>
      <c r="Y189" s="8" t="s">
        <v>31</v>
      </c>
      <c r="Z189" s="8" t="s">
        <v>31</v>
      </c>
    </row>
    <row r="190" spans="1:29">
      <c r="A190" s="8">
        <v>189</v>
      </c>
      <c r="B190" s="8" t="s">
        <v>910</v>
      </c>
      <c r="C190" s="8" t="s">
        <v>906</v>
      </c>
      <c r="D190" s="8" t="s">
        <v>907</v>
      </c>
      <c r="E190" s="8">
        <v>4</v>
      </c>
      <c r="F190" s="8" t="str">
        <f t="shared" si="14"/>
        <v>Sub-indicator</v>
      </c>
      <c r="G190" s="8">
        <v>1</v>
      </c>
      <c r="H190" s="8" t="s">
        <v>911</v>
      </c>
      <c r="I190" s="8" t="s">
        <v>149</v>
      </c>
      <c r="J190" s="8" t="str">
        <f t="shared" ref="J190:J224" si="17">$H$188</f>
        <v>RIGHTS</v>
      </c>
      <c r="K190" s="8" t="str">
        <f t="shared" ref="K190:K224" si="18">$H$152</f>
        <v>PARTICIPATION, RIGHTS &amp; INCLUSION</v>
      </c>
      <c r="L190" s="8" t="s">
        <v>150</v>
      </c>
      <c r="M190" s="8" t="s">
        <v>151</v>
      </c>
      <c r="N190" s="8" t="s">
        <v>31</v>
      </c>
      <c r="O190" s="8" t="s">
        <v>31</v>
      </c>
      <c r="P190" s="8" t="s">
        <v>31</v>
      </c>
      <c r="Q190" s="9" t="s">
        <v>912</v>
      </c>
      <c r="R190" s="8" t="s">
        <v>53</v>
      </c>
      <c r="S190" s="10">
        <v>45432</v>
      </c>
      <c r="T190" s="8" t="s">
        <v>913</v>
      </c>
      <c r="U190" s="8" t="s">
        <v>154</v>
      </c>
      <c r="V190" s="8" t="s">
        <v>155</v>
      </c>
      <c r="W190" s="8" t="s">
        <v>156</v>
      </c>
      <c r="X190" s="8" t="s">
        <v>58</v>
      </c>
      <c r="Y190" s="8" t="s">
        <v>58</v>
      </c>
      <c r="Z190" s="8" t="s">
        <v>31</v>
      </c>
      <c r="AA190" s="8" t="s">
        <v>914</v>
      </c>
    </row>
    <row r="191" spans="1:29">
      <c r="A191" s="8">
        <v>190</v>
      </c>
      <c r="B191" s="8" t="s">
        <v>915</v>
      </c>
      <c r="C191" s="8" t="s">
        <v>906</v>
      </c>
      <c r="D191" s="8" t="s">
        <v>907</v>
      </c>
      <c r="E191" s="8">
        <v>4</v>
      </c>
      <c r="F191" s="8" t="str">
        <f t="shared" si="14"/>
        <v>Sub-indicator</v>
      </c>
      <c r="G191" s="8">
        <v>1</v>
      </c>
      <c r="H191" s="8" t="s">
        <v>916</v>
      </c>
      <c r="I191" s="8" t="s">
        <v>339</v>
      </c>
      <c r="J191" s="8" t="str">
        <f t="shared" si="17"/>
        <v>RIGHTS</v>
      </c>
      <c r="K191" s="8" t="str">
        <f t="shared" si="18"/>
        <v>PARTICIPATION, RIGHTS &amp; INCLUSION</v>
      </c>
      <c r="L191" s="8" t="s">
        <v>340</v>
      </c>
      <c r="M191" s="8" t="s">
        <v>341</v>
      </c>
      <c r="N191" s="8" t="s">
        <v>31</v>
      </c>
      <c r="O191" s="8" t="s">
        <v>31</v>
      </c>
      <c r="P191" s="8" t="s">
        <v>31</v>
      </c>
      <c r="Q191" s="9" t="s">
        <v>917</v>
      </c>
      <c r="R191" s="8" t="s">
        <v>53</v>
      </c>
      <c r="S191" s="10">
        <v>45428</v>
      </c>
      <c r="T191" s="8" t="s">
        <v>918</v>
      </c>
      <c r="U191" s="8" t="s">
        <v>229</v>
      </c>
      <c r="V191" s="8" t="s">
        <v>155</v>
      </c>
      <c r="W191" s="8" t="s">
        <v>344</v>
      </c>
      <c r="X191" s="8" t="s">
        <v>58</v>
      </c>
      <c r="Y191" s="8" t="s">
        <v>58</v>
      </c>
      <c r="Z191" s="8" t="s">
        <v>31</v>
      </c>
      <c r="AA191" s="8" t="s">
        <v>273</v>
      </c>
    </row>
    <row r="192" spans="1:29">
      <c r="A192" s="8">
        <v>191</v>
      </c>
      <c r="B192" s="8" t="s">
        <v>919</v>
      </c>
      <c r="C192" s="8" t="s">
        <v>906</v>
      </c>
      <c r="D192" s="8" t="s">
        <v>907</v>
      </c>
      <c r="E192" s="8">
        <v>4</v>
      </c>
      <c r="F192" s="8" t="str">
        <f t="shared" si="14"/>
        <v>Sub-indicator</v>
      </c>
      <c r="G192" s="8">
        <v>1</v>
      </c>
      <c r="H192" s="8" t="s">
        <v>920</v>
      </c>
      <c r="I192" s="8" t="s">
        <v>235</v>
      </c>
      <c r="J192" s="8" t="str">
        <f t="shared" si="17"/>
        <v>RIGHTS</v>
      </c>
      <c r="K192" s="8" t="str">
        <f t="shared" si="18"/>
        <v>PARTICIPATION, RIGHTS &amp; INCLUSION</v>
      </c>
      <c r="L192" s="8" t="s">
        <v>236</v>
      </c>
      <c r="M192" s="8" t="s">
        <v>237</v>
      </c>
      <c r="N192" s="8" t="s">
        <v>31</v>
      </c>
      <c r="O192" s="8" t="s">
        <v>31</v>
      </c>
      <c r="P192" s="8" t="s">
        <v>31</v>
      </c>
      <c r="Q192" s="9" t="s">
        <v>921</v>
      </c>
      <c r="R192" s="8" t="s">
        <v>239</v>
      </c>
      <c r="S192" s="10">
        <v>45440</v>
      </c>
      <c r="T192" s="8" t="s">
        <v>922</v>
      </c>
      <c r="U192" s="8" t="s">
        <v>154</v>
      </c>
      <c r="V192" s="8" t="s">
        <v>155</v>
      </c>
      <c r="W192" s="8" t="s">
        <v>241</v>
      </c>
      <c r="X192" s="8" t="s">
        <v>242</v>
      </c>
      <c r="Y192" s="8" t="s">
        <v>58</v>
      </c>
      <c r="Z192" s="8" t="s">
        <v>31</v>
      </c>
      <c r="AA192" s="8" t="s">
        <v>243</v>
      </c>
      <c r="AB192" s="8" t="s">
        <v>244</v>
      </c>
    </row>
    <row r="193" spans="1:28">
      <c r="A193" s="8">
        <v>192</v>
      </c>
      <c r="B193" s="8" t="s">
        <v>923</v>
      </c>
      <c r="C193" s="8" t="s">
        <v>904</v>
      </c>
      <c r="D193" s="8" t="s">
        <v>904</v>
      </c>
      <c r="E193" s="12">
        <v>3</v>
      </c>
      <c r="F193" s="12" t="str">
        <f t="shared" si="14"/>
        <v>Indicator</v>
      </c>
      <c r="G193" s="8">
        <v>0</v>
      </c>
      <c r="H193" s="12" t="s">
        <v>924</v>
      </c>
      <c r="I193" s="8" t="s">
        <v>908</v>
      </c>
      <c r="J193" s="8" t="str">
        <f t="shared" si="17"/>
        <v>RIGHTS</v>
      </c>
      <c r="K193" s="8" t="str">
        <f t="shared" si="18"/>
        <v>PARTICIPATION, RIGHTS &amp; INCLUSION</v>
      </c>
      <c r="L193" s="8" t="s">
        <v>33</v>
      </c>
      <c r="M193" s="8" t="s">
        <v>31</v>
      </c>
      <c r="N193" s="8" t="s">
        <v>31</v>
      </c>
      <c r="O193" s="8" t="s">
        <v>31</v>
      </c>
      <c r="P193" s="8" t="s">
        <v>31</v>
      </c>
      <c r="Q193" s="9" t="s">
        <v>925</v>
      </c>
      <c r="R193" s="8" t="s">
        <v>31</v>
      </c>
      <c r="S193" s="13" t="s">
        <v>31</v>
      </c>
      <c r="T193" s="8" t="s">
        <v>31</v>
      </c>
      <c r="U193" s="8" t="s">
        <v>31</v>
      </c>
      <c r="V193" s="8" t="s">
        <v>31</v>
      </c>
      <c r="W193" s="8" t="s">
        <v>31</v>
      </c>
      <c r="X193" s="8" t="s">
        <v>31</v>
      </c>
      <c r="Y193" s="8" t="s">
        <v>31</v>
      </c>
      <c r="Z193" s="8" t="s">
        <v>31</v>
      </c>
    </row>
    <row r="194" spans="1:28">
      <c r="A194" s="8">
        <v>193</v>
      </c>
      <c r="B194" s="8" t="s">
        <v>926</v>
      </c>
      <c r="C194" s="8" t="s">
        <v>923</v>
      </c>
      <c r="D194" s="8" t="s">
        <v>924</v>
      </c>
      <c r="E194" s="8">
        <v>4</v>
      </c>
      <c r="F194" s="8" t="str">
        <f t="shared" si="14"/>
        <v>Sub-indicator</v>
      </c>
      <c r="G194" s="8">
        <v>0</v>
      </c>
      <c r="H194" s="8" t="s">
        <v>927</v>
      </c>
      <c r="I194" s="8" t="s">
        <v>928</v>
      </c>
      <c r="J194" s="8" t="str">
        <f t="shared" si="17"/>
        <v>RIGHTS</v>
      </c>
      <c r="K194" s="8" t="str">
        <f t="shared" si="18"/>
        <v>PARTICIPATION, RIGHTS &amp; INCLUSION</v>
      </c>
      <c r="L194" s="8" t="s">
        <v>33</v>
      </c>
      <c r="M194" s="8" t="s">
        <v>31</v>
      </c>
      <c r="N194" s="8" t="s">
        <v>31</v>
      </c>
      <c r="O194" s="8" t="s">
        <v>31</v>
      </c>
      <c r="P194" s="8" t="s">
        <v>31</v>
      </c>
      <c r="Q194" s="9" t="s">
        <v>929</v>
      </c>
      <c r="R194" s="8" t="s">
        <v>31</v>
      </c>
      <c r="S194" s="10" t="s">
        <v>31</v>
      </c>
      <c r="T194" s="8" t="s">
        <v>31</v>
      </c>
      <c r="U194" s="8" t="s">
        <v>31</v>
      </c>
      <c r="V194" s="8" t="s">
        <v>31</v>
      </c>
      <c r="W194" s="8" t="s">
        <v>31</v>
      </c>
      <c r="X194" s="8" t="s">
        <v>31</v>
      </c>
      <c r="Y194" s="8" t="s">
        <v>31</v>
      </c>
      <c r="Z194" s="8" t="s">
        <v>31</v>
      </c>
    </row>
    <row r="195" spans="1:28">
      <c r="A195" s="8">
        <v>194</v>
      </c>
      <c r="B195" s="8" t="s">
        <v>930</v>
      </c>
      <c r="C195" s="8" t="s">
        <v>926</v>
      </c>
      <c r="D195" s="8" t="s">
        <v>927</v>
      </c>
      <c r="E195" s="8">
        <v>5</v>
      </c>
      <c r="F195" s="8" t="str">
        <f t="shared" si="14"/>
        <v>Sub-sub-indicator</v>
      </c>
      <c r="G195" s="8">
        <v>1</v>
      </c>
      <c r="H195" s="8" t="s">
        <v>931</v>
      </c>
      <c r="I195" s="8" t="s">
        <v>339</v>
      </c>
      <c r="J195" s="8" t="str">
        <f t="shared" si="17"/>
        <v>RIGHTS</v>
      </c>
      <c r="K195" s="8" t="str">
        <f t="shared" si="18"/>
        <v>PARTICIPATION, RIGHTS &amp; INCLUSION</v>
      </c>
      <c r="L195" s="8" t="s">
        <v>340</v>
      </c>
      <c r="M195" s="8" t="s">
        <v>341</v>
      </c>
      <c r="N195" s="8" t="s">
        <v>31</v>
      </c>
      <c r="O195" s="8" t="s">
        <v>31</v>
      </c>
      <c r="P195" s="8" t="s">
        <v>31</v>
      </c>
      <c r="Q195" s="9" t="s">
        <v>932</v>
      </c>
      <c r="R195" s="8" t="s">
        <v>53</v>
      </c>
      <c r="S195" s="10">
        <v>45428</v>
      </c>
      <c r="T195" s="8" t="s">
        <v>933</v>
      </c>
      <c r="U195" s="8" t="s">
        <v>229</v>
      </c>
      <c r="V195" s="8" t="s">
        <v>155</v>
      </c>
      <c r="W195" s="8" t="s">
        <v>344</v>
      </c>
      <c r="X195" s="8" t="s">
        <v>58</v>
      </c>
      <c r="Y195" s="8" t="s">
        <v>58</v>
      </c>
      <c r="Z195" s="8" t="s">
        <v>31</v>
      </c>
      <c r="AA195" s="8" t="s">
        <v>273</v>
      </c>
    </row>
    <row r="196" spans="1:28">
      <c r="A196" s="8">
        <v>195</v>
      </c>
      <c r="B196" s="8" t="s">
        <v>934</v>
      </c>
      <c r="C196" s="8" t="s">
        <v>926</v>
      </c>
      <c r="D196" s="8" t="s">
        <v>927</v>
      </c>
      <c r="E196" s="8">
        <v>5</v>
      </c>
      <c r="F196" s="8" t="str">
        <f t="shared" si="14"/>
        <v>Sub-sub-indicator</v>
      </c>
      <c r="G196" s="8">
        <v>1</v>
      </c>
      <c r="H196" s="8" t="s">
        <v>935</v>
      </c>
      <c r="I196" s="8" t="s">
        <v>149</v>
      </c>
      <c r="J196" s="8" t="str">
        <f t="shared" si="17"/>
        <v>RIGHTS</v>
      </c>
      <c r="K196" s="8" t="str">
        <f t="shared" si="18"/>
        <v>PARTICIPATION, RIGHTS &amp; INCLUSION</v>
      </c>
      <c r="L196" s="8" t="s">
        <v>150</v>
      </c>
      <c r="M196" s="8" t="s">
        <v>151</v>
      </c>
      <c r="N196" s="8" t="s">
        <v>31</v>
      </c>
      <c r="O196" s="8" t="s">
        <v>31</v>
      </c>
      <c r="P196" s="8" t="s">
        <v>31</v>
      </c>
      <c r="Q196" s="9" t="s">
        <v>936</v>
      </c>
      <c r="R196" s="8" t="s">
        <v>53</v>
      </c>
      <c r="S196" s="10">
        <v>45432</v>
      </c>
      <c r="T196" s="8" t="s">
        <v>937</v>
      </c>
      <c r="U196" s="8" t="s">
        <v>154</v>
      </c>
      <c r="V196" s="8" t="s">
        <v>155</v>
      </c>
      <c r="W196" s="8" t="s">
        <v>156</v>
      </c>
      <c r="X196" s="8" t="s">
        <v>58</v>
      </c>
      <c r="Y196" s="8" t="s">
        <v>58</v>
      </c>
      <c r="Z196" s="8" t="s">
        <v>31</v>
      </c>
      <c r="AB196" s="8" t="s">
        <v>157</v>
      </c>
    </row>
    <row r="197" spans="1:28">
      <c r="A197" s="8">
        <v>196</v>
      </c>
      <c r="B197" s="8" t="s">
        <v>938</v>
      </c>
      <c r="C197" s="8" t="s">
        <v>923</v>
      </c>
      <c r="D197" s="8" t="s">
        <v>924</v>
      </c>
      <c r="E197" s="8">
        <v>4</v>
      </c>
      <c r="F197" s="8" t="str">
        <f t="shared" si="14"/>
        <v>Sub-indicator</v>
      </c>
      <c r="G197" s="8">
        <v>0</v>
      </c>
      <c r="H197" s="8" t="s">
        <v>939</v>
      </c>
      <c r="I197" s="8" t="s">
        <v>335</v>
      </c>
      <c r="J197" s="8" t="str">
        <f t="shared" si="17"/>
        <v>RIGHTS</v>
      </c>
      <c r="K197" s="8" t="str">
        <f t="shared" si="18"/>
        <v>PARTICIPATION, RIGHTS &amp; INCLUSION</v>
      </c>
      <c r="L197" s="8" t="s">
        <v>33</v>
      </c>
      <c r="M197" s="8" t="s">
        <v>31</v>
      </c>
      <c r="N197" s="8" t="s">
        <v>31</v>
      </c>
      <c r="O197" s="8" t="s">
        <v>31</v>
      </c>
      <c r="P197" s="8" t="s">
        <v>31</v>
      </c>
      <c r="Q197" s="9" t="s">
        <v>940</v>
      </c>
      <c r="R197" s="8" t="s">
        <v>31</v>
      </c>
      <c r="S197" s="10" t="s">
        <v>31</v>
      </c>
      <c r="T197" s="8" t="s">
        <v>31</v>
      </c>
      <c r="U197" s="8" t="s">
        <v>31</v>
      </c>
      <c r="V197" s="8" t="s">
        <v>31</v>
      </c>
      <c r="W197" s="8" t="s">
        <v>31</v>
      </c>
      <c r="X197" s="8" t="s">
        <v>31</v>
      </c>
      <c r="Y197" s="8" t="s">
        <v>31</v>
      </c>
      <c r="Z197" s="8" t="s">
        <v>31</v>
      </c>
    </row>
    <row r="198" spans="1:28">
      <c r="A198" s="8">
        <v>197</v>
      </c>
      <c r="B198" s="8" t="s">
        <v>941</v>
      </c>
      <c r="C198" s="8" t="s">
        <v>938</v>
      </c>
      <c r="D198" s="8" t="s">
        <v>939</v>
      </c>
      <c r="E198" s="8">
        <v>5</v>
      </c>
      <c r="F198" s="8" t="str">
        <f t="shared" si="14"/>
        <v>Sub-sub-indicator</v>
      </c>
      <c r="G198" s="8">
        <v>1</v>
      </c>
      <c r="H198" s="8" t="s">
        <v>942</v>
      </c>
      <c r="I198" s="8" t="s">
        <v>339</v>
      </c>
      <c r="J198" s="8" t="str">
        <f t="shared" si="17"/>
        <v>RIGHTS</v>
      </c>
      <c r="K198" s="8" t="str">
        <f t="shared" si="18"/>
        <v>PARTICIPATION, RIGHTS &amp; INCLUSION</v>
      </c>
      <c r="L198" s="8" t="s">
        <v>340</v>
      </c>
      <c r="M198" s="8" t="s">
        <v>341</v>
      </c>
      <c r="N198" s="8" t="s">
        <v>31</v>
      </c>
      <c r="O198" s="8" t="s">
        <v>31</v>
      </c>
      <c r="P198" s="8" t="s">
        <v>31</v>
      </c>
      <c r="Q198" s="9" t="s">
        <v>943</v>
      </c>
      <c r="R198" s="8" t="s">
        <v>53</v>
      </c>
      <c r="S198" s="10">
        <v>45428</v>
      </c>
      <c r="T198" s="8" t="s">
        <v>944</v>
      </c>
      <c r="U198" s="8" t="s">
        <v>229</v>
      </c>
      <c r="V198" s="8" t="s">
        <v>155</v>
      </c>
      <c r="W198" s="8" t="s">
        <v>344</v>
      </c>
      <c r="X198" s="8" t="s">
        <v>58</v>
      </c>
      <c r="Y198" s="8" t="s">
        <v>58</v>
      </c>
      <c r="Z198" s="8" t="s">
        <v>31</v>
      </c>
      <c r="AA198" s="8" t="s">
        <v>273</v>
      </c>
    </row>
    <row r="199" spans="1:28">
      <c r="A199" s="8">
        <v>198</v>
      </c>
      <c r="B199" s="8" t="s">
        <v>945</v>
      </c>
      <c r="C199" s="8" t="s">
        <v>938</v>
      </c>
      <c r="D199" s="8" t="s">
        <v>939</v>
      </c>
      <c r="E199" s="8">
        <v>5</v>
      </c>
      <c r="F199" s="8" t="str">
        <f t="shared" si="14"/>
        <v>Sub-sub-indicator</v>
      </c>
      <c r="G199" s="8">
        <v>1</v>
      </c>
      <c r="H199" s="8" t="s">
        <v>946</v>
      </c>
      <c r="I199" s="8" t="s">
        <v>235</v>
      </c>
      <c r="J199" s="8" t="str">
        <f t="shared" si="17"/>
        <v>RIGHTS</v>
      </c>
      <c r="K199" s="8" t="str">
        <f t="shared" si="18"/>
        <v>PARTICIPATION, RIGHTS &amp; INCLUSION</v>
      </c>
      <c r="L199" s="8" t="s">
        <v>236</v>
      </c>
      <c r="M199" s="8" t="s">
        <v>237</v>
      </c>
      <c r="N199" s="8" t="s">
        <v>31</v>
      </c>
      <c r="O199" s="8" t="s">
        <v>31</v>
      </c>
      <c r="P199" s="8" t="s">
        <v>31</v>
      </c>
      <c r="Q199" s="9" t="s">
        <v>947</v>
      </c>
      <c r="R199" s="8" t="s">
        <v>239</v>
      </c>
      <c r="S199" s="10">
        <v>45440</v>
      </c>
      <c r="T199" s="8" t="s">
        <v>948</v>
      </c>
      <c r="U199" s="8" t="s">
        <v>154</v>
      </c>
      <c r="V199" s="8" t="s">
        <v>155</v>
      </c>
      <c r="W199" s="8" t="s">
        <v>241</v>
      </c>
      <c r="X199" s="8" t="s">
        <v>242</v>
      </c>
      <c r="Y199" s="8" t="s">
        <v>58</v>
      </c>
      <c r="Z199" s="8" t="s">
        <v>31</v>
      </c>
      <c r="AA199" s="8" t="s">
        <v>243</v>
      </c>
      <c r="AB199" s="8" t="s">
        <v>244</v>
      </c>
    </row>
    <row r="200" spans="1:28">
      <c r="A200" s="8">
        <v>199</v>
      </c>
      <c r="B200" s="8" t="s">
        <v>949</v>
      </c>
      <c r="C200" s="8" t="s">
        <v>904</v>
      </c>
      <c r="D200" s="8" t="s">
        <v>904</v>
      </c>
      <c r="E200" s="12">
        <v>3</v>
      </c>
      <c r="F200" s="12" t="str">
        <f t="shared" si="14"/>
        <v>Indicator</v>
      </c>
      <c r="G200" s="8">
        <v>0</v>
      </c>
      <c r="H200" s="12" t="s">
        <v>950</v>
      </c>
      <c r="I200" s="8" t="s">
        <v>951</v>
      </c>
      <c r="J200" s="8" t="str">
        <f t="shared" si="17"/>
        <v>RIGHTS</v>
      </c>
      <c r="K200" s="8" t="str">
        <f t="shared" si="18"/>
        <v>PARTICIPATION, RIGHTS &amp; INCLUSION</v>
      </c>
      <c r="L200" s="8" t="s">
        <v>33</v>
      </c>
      <c r="M200" s="8" t="s">
        <v>31</v>
      </c>
      <c r="N200" s="8" t="s">
        <v>31</v>
      </c>
      <c r="O200" s="8" t="s">
        <v>31</v>
      </c>
      <c r="P200" s="8" t="s">
        <v>31</v>
      </c>
      <c r="Q200" s="9" t="s">
        <v>952</v>
      </c>
      <c r="R200" s="8" t="s">
        <v>31</v>
      </c>
      <c r="S200" s="10" t="s">
        <v>31</v>
      </c>
      <c r="T200" s="8" t="s">
        <v>31</v>
      </c>
      <c r="U200" s="8" t="s">
        <v>31</v>
      </c>
      <c r="V200" s="8" t="s">
        <v>31</v>
      </c>
      <c r="W200" s="8" t="s">
        <v>31</v>
      </c>
      <c r="X200" s="8" t="s">
        <v>31</v>
      </c>
      <c r="Y200" s="8" t="s">
        <v>31</v>
      </c>
      <c r="Z200" s="8" t="s">
        <v>31</v>
      </c>
    </row>
    <row r="201" spans="1:28">
      <c r="A201" s="8">
        <v>200</v>
      </c>
      <c r="B201" s="8" t="s">
        <v>953</v>
      </c>
      <c r="C201" s="8" t="s">
        <v>949</v>
      </c>
      <c r="D201" s="8" t="s">
        <v>950</v>
      </c>
      <c r="E201" s="21">
        <v>4</v>
      </c>
      <c r="F201" s="8" t="str">
        <f t="shared" si="14"/>
        <v>Sub-indicator</v>
      </c>
      <c r="G201" s="8">
        <v>0</v>
      </c>
      <c r="H201" s="8" t="s">
        <v>954</v>
      </c>
      <c r="I201" s="8" t="s">
        <v>955</v>
      </c>
      <c r="J201" s="8" t="str">
        <f t="shared" si="17"/>
        <v>RIGHTS</v>
      </c>
      <c r="K201" s="8" t="str">
        <f t="shared" si="18"/>
        <v>PARTICIPATION, RIGHTS &amp; INCLUSION</v>
      </c>
      <c r="L201" s="8" t="s">
        <v>33</v>
      </c>
      <c r="M201" s="8" t="s">
        <v>31</v>
      </c>
      <c r="N201" s="8" t="s">
        <v>31</v>
      </c>
      <c r="O201" s="8" t="s">
        <v>31</v>
      </c>
      <c r="P201" s="8" t="s">
        <v>31</v>
      </c>
      <c r="Q201" s="9" t="s">
        <v>956</v>
      </c>
      <c r="R201" s="8" t="s">
        <v>31</v>
      </c>
      <c r="S201" s="10" t="s">
        <v>31</v>
      </c>
      <c r="T201" s="8" t="s">
        <v>31</v>
      </c>
      <c r="U201" s="8" t="s">
        <v>31</v>
      </c>
      <c r="V201" s="8" t="s">
        <v>31</v>
      </c>
      <c r="W201" s="8" t="s">
        <v>31</v>
      </c>
      <c r="X201" s="8" t="s">
        <v>31</v>
      </c>
      <c r="Y201" s="8" t="s">
        <v>31</v>
      </c>
      <c r="Z201" s="8" t="s">
        <v>31</v>
      </c>
    </row>
    <row r="202" spans="1:28">
      <c r="A202" s="8">
        <v>201</v>
      </c>
      <c r="B202" s="8" t="s">
        <v>957</v>
      </c>
      <c r="C202" s="8" t="s">
        <v>953</v>
      </c>
      <c r="D202" s="8" t="s">
        <v>954</v>
      </c>
      <c r="E202" s="21">
        <v>5</v>
      </c>
      <c r="F202" s="8" t="s">
        <v>92</v>
      </c>
      <c r="G202" s="8">
        <v>1</v>
      </c>
      <c r="H202" s="8" t="s">
        <v>958</v>
      </c>
      <c r="I202" s="8" t="s">
        <v>959</v>
      </c>
      <c r="J202" s="8" t="str">
        <f t="shared" si="17"/>
        <v>RIGHTS</v>
      </c>
      <c r="K202" s="8" t="str">
        <f t="shared" si="18"/>
        <v>PARTICIPATION, RIGHTS &amp; INCLUSION</v>
      </c>
      <c r="L202" s="8" t="s">
        <v>960</v>
      </c>
      <c r="M202" s="8" t="s">
        <v>961</v>
      </c>
      <c r="N202" s="8" t="s">
        <v>31</v>
      </c>
      <c r="O202" s="8" t="s">
        <v>31</v>
      </c>
      <c r="P202" s="8" t="s">
        <v>31</v>
      </c>
      <c r="Q202" s="9" t="s">
        <v>962</v>
      </c>
      <c r="R202" s="8" t="s">
        <v>963</v>
      </c>
      <c r="S202" s="10">
        <v>45482</v>
      </c>
      <c r="T202" s="8" t="s">
        <v>964</v>
      </c>
      <c r="U202" s="8" t="s">
        <v>196</v>
      </c>
      <c r="V202" s="8" t="s">
        <v>155</v>
      </c>
      <c r="W202" s="8" t="s">
        <v>965</v>
      </c>
      <c r="X202" s="8" t="s">
        <v>966</v>
      </c>
      <c r="Y202" s="8" t="s">
        <v>58</v>
      </c>
      <c r="Z202" s="8" t="s">
        <v>31</v>
      </c>
      <c r="AA202" s="8" t="s">
        <v>967</v>
      </c>
      <c r="AB202" s="8" t="s">
        <v>968</v>
      </c>
    </row>
    <row r="203" spans="1:28">
      <c r="A203" s="8">
        <v>202</v>
      </c>
      <c r="B203" s="8" t="s">
        <v>969</v>
      </c>
      <c r="C203" s="8" t="s">
        <v>953</v>
      </c>
      <c r="D203" s="8" t="s">
        <v>954</v>
      </c>
      <c r="E203" s="8">
        <v>5</v>
      </c>
      <c r="F203" s="8" t="str">
        <f t="shared" si="14"/>
        <v>Sub-sub-indicator</v>
      </c>
      <c r="G203" s="8">
        <v>1</v>
      </c>
      <c r="H203" s="8" t="s">
        <v>970</v>
      </c>
      <c r="I203" s="8" t="s">
        <v>149</v>
      </c>
      <c r="J203" s="8" t="str">
        <f t="shared" si="17"/>
        <v>RIGHTS</v>
      </c>
      <c r="K203" s="8" t="str">
        <f t="shared" si="18"/>
        <v>PARTICIPATION, RIGHTS &amp; INCLUSION</v>
      </c>
      <c r="L203" s="8" t="s">
        <v>150</v>
      </c>
      <c r="M203" s="8" t="s">
        <v>151</v>
      </c>
      <c r="N203" s="8" t="s">
        <v>31</v>
      </c>
      <c r="O203" s="8" t="s">
        <v>31</v>
      </c>
      <c r="P203" s="8" t="s">
        <v>31</v>
      </c>
      <c r="Q203" s="9" t="s">
        <v>971</v>
      </c>
      <c r="R203" s="8" t="s">
        <v>53</v>
      </c>
      <c r="S203" s="10">
        <v>45432</v>
      </c>
      <c r="T203" s="8" t="s">
        <v>972</v>
      </c>
      <c r="U203" s="8" t="s">
        <v>154</v>
      </c>
      <c r="V203" s="8" t="s">
        <v>155</v>
      </c>
      <c r="W203" s="8" t="s">
        <v>156</v>
      </c>
      <c r="X203" s="8" t="s">
        <v>58</v>
      </c>
      <c r="Y203" s="8" t="s">
        <v>58</v>
      </c>
      <c r="Z203" s="8" t="s">
        <v>31</v>
      </c>
      <c r="AB203" s="8" t="s">
        <v>157</v>
      </c>
    </row>
    <row r="204" spans="1:28">
      <c r="A204" s="8">
        <v>203</v>
      </c>
      <c r="B204" s="8" t="s">
        <v>973</v>
      </c>
      <c r="C204" s="8" t="s">
        <v>949</v>
      </c>
      <c r="D204" s="8" t="s">
        <v>950</v>
      </c>
      <c r="E204" s="8">
        <v>4</v>
      </c>
      <c r="F204" s="8" t="str">
        <f t="shared" si="14"/>
        <v>Sub-indicator</v>
      </c>
      <c r="G204" s="8">
        <v>0</v>
      </c>
      <c r="H204" s="8" t="s">
        <v>974</v>
      </c>
      <c r="I204" s="8" t="s">
        <v>975</v>
      </c>
      <c r="J204" s="8" t="str">
        <f t="shared" si="17"/>
        <v>RIGHTS</v>
      </c>
      <c r="K204" s="8" t="str">
        <f t="shared" si="18"/>
        <v>PARTICIPATION, RIGHTS &amp; INCLUSION</v>
      </c>
      <c r="L204" s="8" t="s">
        <v>33</v>
      </c>
      <c r="M204" s="8" t="s">
        <v>31</v>
      </c>
      <c r="N204" s="8" t="s">
        <v>31</v>
      </c>
      <c r="O204" s="8" t="s">
        <v>31</v>
      </c>
      <c r="P204" s="8" t="s">
        <v>31</v>
      </c>
      <c r="Q204" s="9" t="s">
        <v>976</v>
      </c>
      <c r="R204" s="8" t="s">
        <v>31</v>
      </c>
      <c r="S204" s="10" t="s">
        <v>31</v>
      </c>
      <c r="T204" s="8" t="s">
        <v>31</v>
      </c>
      <c r="U204" s="8" t="s">
        <v>31</v>
      </c>
      <c r="V204" s="8" t="s">
        <v>31</v>
      </c>
      <c r="W204" s="8" t="s">
        <v>31</v>
      </c>
      <c r="X204" s="8" t="s">
        <v>31</v>
      </c>
      <c r="Y204" s="8" t="s">
        <v>31</v>
      </c>
      <c r="Z204" s="8" t="s">
        <v>31</v>
      </c>
    </row>
    <row r="205" spans="1:28">
      <c r="A205" s="8">
        <v>204</v>
      </c>
      <c r="B205" s="8" t="s">
        <v>977</v>
      </c>
      <c r="C205" s="8" t="s">
        <v>973</v>
      </c>
      <c r="D205" s="8" t="s">
        <v>974</v>
      </c>
      <c r="E205" s="8">
        <v>5</v>
      </c>
      <c r="F205" s="8" t="str">
        <f t="shared" si="14"/>
        <v>Sub-sub-indicator</v>
      </c>
      <c r="G205" s="8">
        <v>1</v>
      </c>
      <c r="H205" s="8" t="s">
        <v>978</v>
      </c>
      <c r="I205" s="8" t="s">
        <v>959</v>
      </c>
      <c r="J205" s="8" t="str">
        <f t="shared" si="17"/>
        <v>RIGHTS</v>
      </c>
      <c r="K205" s="8" t="str">
        <f t="shared" si="18"/>
        <v>PARTICIPATION, RIGHTS &amp; INCLUSION</v>
      </c>
      <c r="L205" s="8" t="s">
        <v>960</v>
      </c>
      <c r="M205" s="8" t="s">
        <v>961</v>
      </c>
      <c r="N205" s="8" t="s">
        <v>31</v>
      </c>
      <c r="O205" s="8" t="s">
        <v>31</v>
      </c>
      <c r="P205" s="8" t="s">
        <v>31</v>
      </c>
      <c r="Q205" s="9" t="s">
        <v>979</v>
      </c>
      <c r="R205" s="8" t="s">
        <v>963</v>
      </c>
      <c r="S205" s="10">
        <v>45482</v>
      </c>
      <c r="T205" s="8" t="s">
        <v>980</v>
      </c>
      <c r="U205" s="8" t="s">
        <v>196</v>
      </c>
      <c r="V205" s="8" t="s">
        <v>155</v>
      </c>
      <c r="W205" s="8" t="s">
        <v>965</v>
      </c>
      <c r="X205" s="8" t="s">
        <v>966</v>
      </c>
      <c r="Y205" s="8" t="s">
        <v>58</v>
      </c>
      <c r="Z205" s="8" t="s">
        <v>31</v>
      </c>
      <c r="AA205" s="8" t="s">
        <v>967</v>
      </c>
      <c r="AB205" s="8" t="s">
        <v>968</v>
      </c>
    </row>
    <row r="206" spans="1:28">
      <c r="A206" s="8">
        <v>205</v>
      </c>
      <c r="B206" s="8" t="s">
        <v>981</v>
      </c>
      <c r="C206" s="8" t="s">
        <v>973</v>
      </c>
      <c r="D206" s="8" t="s">
        <v>974</v>
      </c>
      <c r="E206" s="8">
        <v>5</v>
      </c>
      <c r="F206" s="8" t="s">
        <v>92</v>
      </c>
      <c r="G206" s="8">
        <v>1</v>
      </c>
      <c r="H206" s="8" t="s">
        <v>982</v>
      </c>
      <c r="I206" s="8" t="s">
        <v>267</v>
      </c>
      <c r="J206" s="8" t="str">
        <f t="shared" si="17"/>
        <v>RIGHTS</v>
      </c>
      <c r="K206" s="8" t="str">
        <f t="shared" si="18"/>
        <v>PARTICIPATION, RIGHTS &amp; INCLUSION</v>
      </c>
      <c r="L206" s="8" t="s">
        <v>268</v>
      </c>
      <c r="M206" s="8" t="s">
        <v>269</v>
      </c>
      <c r="N206" s="8" t="s">
        <v>31</v>
      </c>
      <c r="O206" s="8" t="s">
        <v>31</v>
      </c>
      <c r="P206" s="8" t="s">
        <v>31</v>
      </c>
      <c r="Q206" s="9" t="s">
        <v>983</v>
      </c>
      <c r="R206" s="8" t="s">
        <v>53</v>
      </c>
      <c r="S206" s="10">
        <v>45481</v>
      </c>
      <c r="T206" s="8" t="s">
        <v>984</v>
      </c>
      <c r="U206" s="8" t="s">
        <v>196</v>
      </c>
      <c r="V206" s="8" t="s">
        <v>155</v>
      </c>
      <c r="W206" s="8" t="s">
        <v>272</v>
      </c>
      <c r="X206" s="8" t="s">
        <v>58</v>
      </c>
      <c r="Y206" s="8" t="s">
        <v>58</v>
      </c>
      <c r="Z206" s="8" t="s">
        <v>31</v>
      </c>
      <c r="AA206" s="8" t="s">
        <v>273</v>
      </c>
    </row>
    <row r="207" spans="1:28">
      <c r="A207" s="8">
        <v>206</v>
      </c>
      <c r="B207" s="8" t="s">
        <v>985</v>
      </c>
      <c r="C207" s="8" t="s">
        <v>949</v>
      </c>
      <c r="D207" s="8" t="s">
        <v>950</v>
      </c>
      <c r="E207" s="8">
        <v>4</v>
      </c>
      <c r="F207" s="8" t="s">
        <v>136</v>
      </c>
      <c r="G207" s="8">
        <v>0</v>
      </c>
      <c r="H207" s="8" t="s">
        <v>986</v>
      </c>
      <c r="I207" s="8" t="s">
        <v>959</v>
      </c>
      <c r="J207" s="8" t="str">
        <f t="shared" si="17"/>
        <v>RIGHTS</v>
      </c>
      <c r="K207" s="8" t="str">
        <f t="shared" si="18"/>
        <v>PARTICIPATION, RIGHTS &amp; INCLUSION</v>
      </c>
      <c r="L207" s="8" t="s">
        <v>33</v>
      </c>
      <c r="M207" s="8" t="s">
        <v>31</v>
      </c>
      <c r="N207" s="8" t="s">
        <v>31</v>
      </c>
      <c r="O207" s="8" t="s">
        <v>31</v>
      </c>
      <c r="P207" s="8" t="s">
        <v>31</v>
      </c>
      <c r="Q207" s="9" t="s">
        <v>987</v>
      </c>
      <c r="R207" s="8" t="s">
        <v>31</v>
      </c>
      <c r="S207" s="10" t="s">
        <v>31</v>
      </c>
      <c r="T207" s="8" t="s">
        <v>31</v>
      </c>
      <c r="U207" s="8" t="s">
        <v>31</v>
      </c>
      <c r="V207" s="8" t="s">
        <v>31</v>
      </c>
      <c r="W207" s="8" t="s">
        <v>31</v>
      </c>
      <c r="X207" s="8" t="s">
        <v>31</v>
      </c>
      <c r="Y207" s="8" t="s">
        <v>31</v>
      </c>
      <c r="Z207" s="8" t="s">
        <v>31</v>
      </c>
    </row>
    <row r="208" spans="1:28">
      <c r="A208" s="8">
        <v>207</v>
      </c>
      <c r="B208" s="8" t="s">
        <v>988</v>
      </c>
      <c r="C208" s="8" t="s">
        <v>985</v>
      </c>
      <c r="D208" s="8" t="s">
        <v>986</v>
      </c>
      <c r="E208" s="8">
        <v>5</v>
      </c>
      <c r="F208" s="8" t="s">
        <v>92</v>
      </c>
      <c r="G208" s="8">
        <v>1</v>
      </c>
      <c r="H208" s="8" t="s">
        <v>989</v>
      </c>
      <c r="I208" s="8" t="s">
        <v>959</v>
      </c>
      <c r="J208" s="8" t="str">
        <f t="shared" si="17"/>
        <v>RIGHTS</v>
      </c>
      <c r="K208" s="8" t="str">
        <f t="shared" si="18"/>
        <v>PARTICIPATION, RIGHTS &amp; INCLUSION</v>
      </c>
      <c r="L208" s="8" t="s">
        <v>960</v>
      </c>
      <c r="M208" s="8" t="s">
        <v>961</v>
      </c>
      <c r="N208" s="8" t="s">
        <v>31</v>
      </c>
      <c r="O208" s="8" t="s">
        <v>31</v>
      </c>
      <c r="P208" s="8" t="s">
        <v>31</v>
      </c>
      <c r="Q208" s="9" t="s">
        <v>990</v>
      </c>
      <c r="R208" s="8" t="s">
        <v>963</v>
      </c>
      <c r="S208" s="10">
        <v>45482</v>
      </c>
      <c r="T208" s="8" t="s">
        <v>991</v>
      </c>
      <c r="U208" s="8" t="s">
        <v>196</v>
      </c>
      <c r="V208" s="8" t="s">
        <v>155</v>
      </c>
      <c r="W208" s="8" t="s">
        <v>965</v>
      </c>
      <c r="X208" s="8" t="s">
        <v>966</v>
      </c>
      <c r="Y208" s="8" t="s">
        <v>58</v>
      </c>
      <c r="Z208" s="8" t="s">
        <v>31</v>
      </c>
      <c r="AA208" s="8" t="s">
        <v>967</v>
      </c>
      <c r="AB208" s="8" t="s">
        <v>968</v>
      </c>
    </row>
    <row r="209" spans="1:28">
      <c r="A209" s="8">
        <v>208</v>
      </c>
      <c r="B209" s="8" t="s">
        <v>992</v>
      </c>
      <c r="C209" s="8" t="s">
        <v>985</v>
      </c>
      <c r="D209" s="8" t="s">
        <v>986</v>
      </c>
      <c r="E209" s="8">
        <v>5</v>
      </c>
      <c r="F209" s="8" t="s">
        <v>92</v>
      </c>
      <c r="G209" s="8">
        <v>1</v>
      </c>
      <c r="H209" s="8" t="s">
        <v>993</v>
      </c>
      <c r="I209" s="8" t="s">
        <v>959</v>
      </c>
      <c r="J209" s="8" t="str">
        <f t="shared" si="17"/>
        <v>RIGHTS</v>
      </c>
      <c r="K209" s="8" t="str">
        <f t="shared" si="18"/>
        <v>PARTICIPATION, RIGHTS &amp; INCLUSION</v>
      </c>
      <c r="L209" s="8" t="s">
        <v>960</v>
      </c>
      <c r="M209" s="8" t="s">
        <v>961</v>
      </c>
      <c r="N209" s="8" t="s">
        <v>31</v>
      </c>
      <c r="O209" s="8" t="s">
        <v>31</v>
      </c>
      <c r="P209" s="8" t="s">
        <v>31</v>
      </c>
      <c r="Q209" s="9" t="s">
        <v>994</v>
      </c>
      <c r="R209" s="8" t="s">
        <v>963</v>
      </c>
      <c r="S209" s="10">
        <v>45482</v>
      </c>
      <c r="T209" s="8" t="s">
        <v>995</v>
      </c>
      <c r="U209" s="8" t="s">
        <v>196</v>
      </c>
      <c r="V209" s="8" t="s">
        <v>155</v>
      </c>
      <c r="W209" s="8" t="s">
        <v>965</v>
      </c>
      <c r="X209" s="8" t="s">
        <v>966</v>
      </c>
      <c r="Y209" s="8" t="s">
        <v>58</v>
      </c>
      <c r="Z209" s="8" t="s">
        <v>31</v>
      </c>
      <c r="AA209" s="8" t="s">
        <v>967</v>
      </c>
      <c r="AB209" s="8" t="s">
        <v>968</v>
      </c>
    </row>
    <row r="210" spans="1:28">
      <c r="A210" s="8">
        <v>209</v>
      </c>
      <c r="B210" s="8" t="s">
        <v>996</v>
      </c>
      <c r="C210" s="8" t="s">
        <v>949</v>
      </c>
      <c r="D210" s="8" t="s">
        <v>950</v>
      </c>
      <c r="E210" s="8">
        <v>4</v>
      </c>
      <c r="F210" s="8" t="s">
        <v>136</v>
      </c>
      <c r="G210" s="8">
        <v>0</v>
      </c>
      <c r="H210" s="8" t="s">
        <v>997</v>
      </c>
      <c r="I210" s="8" t="s">
        <v>955</v>
      </c>
      <c r="J210" s="8" t="str">
        <f t="shared" si="17"/>
        <v>RIGHTS</v>
      </c>
      <c r="K210" s="8" t="str">
        <f t="shared" si="18"/>
        <v>PARTICIPATION, RIGHTS &amp; INCLUSION</v>
      </c>
      <c r="L210" s="8" t="s">
        <v>33</v>
      </c>
      <c r="M210" s="8" t="s">
        <v>31</v>
      </c>
      <c r="N210" s="8" t="s">
        <v>31</v>
      </c>
      <c r="O210" s="8" t="s">
        <v>31</v>
      </c>
      <c r="P210" s="8" t="s">
        <v>31</v>
      </c>
      <c r="Q210" s="9" t="s">
        <v>998</v>
      </c>
      <c r="R210" s="8" t="s">
        <v>31</v>
      </c>
      <c r="S210" s="10" t="s">
        <v>31</v>
      </c>
      <c r="T210" s="8" t="s">
        <v>31</v>
      </c>
      <c r="U210" s="8" t="s">
        <v>31</v>
      </c>
      <c r="V210" s="8" t="s">
        <v>31</v>
      </c>
      <c r="W210" s="8" t="s">
        <v>31</v>
      </c>
      <c r="X210" s="8" t="s">
        <v>31</v>
      </c>
      <c r="Y210" s="8" t="s">
        <v>31</v>
      </c>
      <c r="Z210" s="8" t="s">
        <v>31</v>
      </c>
    </row>
    <row r="211" spans="1:28">
      <c r="A211" s="8">
        <v>210</v>
      </c>
      <c r="B211" s="8" t="s">
        <v>999</v>
      </c>
      <c r="C211" s="8" t="s">
        <v>996</v>
      </c>
      <c r="D211" s="8" t="s">
        <v>997</v>
      </c>
      <c r="E211" s="8">
        <v>5</v>
      </c>
      <c r="F211" s="8" t="s">
        <v>92</v>
      </c>
      <c r="G211" s="8">
        <v>1</v>
      </c>
      <c r="H211" s="8" t="s">
        <v>1000</v>
      </c>
      <c r="I211" s="8" t="s">
        <v>959</v>
      </c>
      <c r="J211" s="8" t="str">
        <f t="shared" si="17"/>
        <v>RIGHTS</v>
      </c>
      <c r="K211" s="8" t="str">
        <f t="shared" si="18"/>
        <v>PARTICIPATION, RIGHTS &amp; INCLUSION</v>
      </c>
      <c r="L211" s="8" t="s">
        <v>960</v>
      </c>
      <c r="M211" s="8" t="s">
        <v>961</v>
      </c>
      <c r="N211" s="8" t="s">
        <v>31</v>
      </c>
      <c r="O211" s="8" t="s">
        <v>31</v>
      </c>
      <c r="P211" s="8" t="s">
        <v>31</v>
      </c>
      <c r="Q211" s="9" t="s">
        <v>1001</v>
      </c>
      <c r="R211" s="8" t="s">
        <v>963</v>
      </c>
      <c r="S211" s="10">
        <v>45482</v>
      </c>
      <c r="T211" s="8" t="s">
        <v>1002</v>
      </c>
      <c r="U211" s="8" t="s">
        <v>196</v>
      </c>
      <c r="V211" s="8" t="s">
        <v>155</v>
      </c>
      <c r="W211" s="8" t="s">
        <v>965</v>
      </c>
      <c r="X211" s="8" t="s">
        <v>966</v>
      </c>
      <c r="Y211" s="8" t="s">
        <v>58</v>
      </c>
      <c r="Z211" s="8" t="s">
        <v>31</v>
      </c>
      <c r="AA211" s="8" t="s">
        <v>967</v>
      </c>
      <c r="AB211" s="8" t="s">
        <v>968</v>
      </c>
    </row>
    <row r="212" spans="1:28">
      <c r="A212" s="8">
        <v>211</v>
      </c>
      <c r="B212" s="8" t="s">
        <v>1003</v>
      </c>
      <c r="C212" s="8" t="s">
        <v>996</v>
      </c>
      <c r="D212" s="8" t="s">
        <v>997</v>
      </c>
      <c r="E212" s="8">
        <v>5</v>
      </c>
      <c r="F212" s="8" t="s">
        <v>92</v>
      </c>
      <c r="G212" s="8">
        <v>1</v>
      </c>
      <c r="H212" s="8" t="s">
        <v>1004</v>
      </c>
      <c r="I212" s="8" t="s">
        <v>149</v>
      </c>
      <c r="J212" s="8" t="str">
        <f t="shared" si="17"/>
        <v>RIGHTS</v>
      </c>
      <c r="K212" s="8" t="str">
        <f t="shared" si="18"/>
        <v>PARTICIPATION, RIGHTS &amp; INCLUSION</v>
      </c>
      <c r="L212" s="8" t="s">
        <v>150</v>
      </c>
      <c r="M212" s="8" t="s">
        <v>151</v>
      </c>
      <c r="N212" s="8" t="s">
        <v>31</v>
      </c>
      <c r="O212" s="8" t="s">
        <v>31</v>
      </c>
      <c r="P212" s="8" t="s">
        <v>31</v>
      </c>
      <c r="Q212" s="9" t="s">
        <v>1005</v>
      </c>
      <c r="R212" s="8" t="s">
        <v>53</v>
      </c>
      <c r="S212" s="10">
        <v>45432</v>
      </c>
      <c r="T212" s="8" t="s">
        <v>1006</v>
      </c>
      <c r="U212" s="8" t="s">
        <v>229</v>
      </c>
      <c r="V212" s="8" t="s">
        <v>155</v>
      </c>
      <c r="W212" s="8" t="s">
        <v>156</v>
      </c>
      <c r="X212" s="8" t="s">
        <v>58</v>
      </c>
      <c r="Y212" s="8" t="s">
        <v>58</v>
      </c>
      <c r="Z212" s="8" t="s">
        <v>31</v>
      </c>
      <c r="AB212" s="8" t="s">
        <v>157</v>
      </c>
    </row>
    <row r="213" spans="1:28">
      <c r="A213" s="8">
        <v>212</v>
      </c>
      <c r="B213" s="8" t="s">
        <v>1007</v>
      </c>
      <c r="C213" s="8" t="s">
        <v>904</v>
      </c>
      <c r="D213" s="8" t="s">
        <v>904</v>
      </c>
      <c r="E213" s="12">
        <v>3</v>
      </c>
      <c r="F213" s="12" t="str">
        <f t="shared" si="14"/>
        <v>Indicator</v>
      </c>
      <c r="G213" s="8">
        <v>0</v>
      </c>
      <c r="H213" s="12" t="s">
        <v>1008</v>
      </c>
      <c r="I213" s="8" t="s">
        <v>1009</v>
      </c>
      <c r="J213" s="8" t="str">
        <f t="shared" si="17"/>
        <v>RIGHTS</v>
      </c>
      <c r="K213" s="8" t="str">
        <f t="shared" si="18"/>
        <v>PARTICIPATION, RIGHTS &amp; INCLUSION</v>
      </c>
      <c r="L213" s="8" t="s">
        <v>33</v>
      </c>
      <c r="M213" s="8" t="s">
        <v>31</v>
      </c>
      <c r="N213" s="8" t="s">
        <v>31</v>
      </c>
      <c r="O213" s="8" t="s">
        <v>31</v>
      </c>
      <c r="P213" s="8" t="s">
        <v>31</v>
      </c>
      <c r="Q213" s="9" t="s">
        <v>1010</v>
      </c>
      <c r="R213" s="8" t="s">
        <v>31</v>
      </c>
      <c r="S213" s="10" t="s">
        <v>31</v>
      </c>
      <c r="T213" s="8" t="s">
        <v>31</v>
      </c>
      <c r="U213" s="8" t="s">
        <v>31</v>
      </c>
      <c r="V213" s="8" t="s">
        <v>31</v>
      </c>
      <c r="W213" s="8" t="s">
        <v>31</v>
      </c>
      <c r="X213" s="8" t="s">
        <v>31</v>
      </c>
      <c r="Y213" s="8" t="s">
        <v>31</v>
      </c>
      <c r="Z213" s="8" t="s">
        <v>31</v>
      </c>
    </row>
    <row r="214" spans="1:28">
      <c r="A214" s="8">
        <v>213</v>
      </c>
      <c r="B214" s="8" t="s">
        <v>1011</v>
      </c>
      <c r="C214" s="8" t="s">
        <v>1007</v>
      </c>
      <c r="D214" s="8" t="s">
        <v>1012</v>
      </c>
      <c r="E214" s="8">
        <v>4</v>
      </c>
      <c r="F214" s="8" t="str">
        <f t="shared" si="14"/>
        <v>Sub-indicator</v>
      </c>
      <c r="G214" s="8">
        <v>1</v>
      </c>
      <c r="H214" s="8" t="s">
        <v>1013</v>
      </c>
      <c r="I214" s="8" t="s">
        <v>1014</v>
      </c>
      <c r="J214" s="8" t="str">
        <f t="shared" si="17"/>
        <v>RIGHTS</v>
      </c>
      <c r="K214" s="8" t="str">
        <f t="shared" si="18"/>
        <v>PARTICIPATION, RIGHTS &amp; INCLUSION</v>
      </c>
      <c r="L214" s="8" t="s">
        <v>1015</v>
      </c>
      <c r="M214" s="8" t="s">
        <v>1016</v>
      </c>
      <c r="N214" s="8" t="s">
        <v>151</v>
      </c>
      <c r="O214" s="8" t="s">
        <v>31</v>
      </c>
      <c r="P214" s="8" t="s">
        <v>31</v>
      </c>
      <c r="Q214" s="9" t="s">
        <v>1017</v>
      </c>
      <c r="R214" s="8" t="s">
        <v>53</v>
      </c>
      <c r="S214" s="10">
        <v>45427</v>
      </c>
      <c r="T214" s="8" t="s">
        <v>1018</v>
      </c>
      <c r="U214" s="8" t="s">
        <v>229</v>
      </c>
      <c r="V214" s="8" t="s">
        <v>155</v>
      </c>
      <c r="W214" s="8" t="s">
        <v>1019</v>
      </c>
      <c r="X214" s="8" t="s">
        <v>1020</v>
      </c>
      <c r="Y214" s="8" t="s">
        <v>58</v>
      </c>
      <c r="Z214" s="8" t="s">
        <v>31</v>
      </c>
      <c r="AA214" s="8" t="s">
        <v>1021</v>
      </c>
    </row>
    <row r="215" spans="1:28">
      <c r="A215" s="8">
        <v>214</v>
      </c>
      <c r="B215" s="8" t="s">
        <v>1022</v>
      </c>
      <c r="C215" s="8" t="s">
        <v>1007</v>
      </c>
      <c r="D215" s="8" t="s">
        <v>1012</v>
      </c>
      <c r="E215" s="8">
        <v>4</v>
      </c>
      <c r="F215" s="8" t="str">
        <f t="shared" si="14"/>
        <v>Sub-indicator</v>
      </c>
      <c r="G215" s="8">
        <v>1</v>
      </c>
      <c r="H215" s="8" t="s">
        <v>1023</v>
      </c>
      <c r="I215" s="8" t="s">
        <v>149</v>
      </c>
      <c r="J215" s="8" t="str">
        <f t="shared" si="17"/>
        <v>RIGHTS</v>
      </c>
      <c r="K215" s="8" t="str">
        <f t="shared" si="18"/>
        <v>PARTICIPATION, RIGHTS &amp; INCLUSION</v>
      </c>
      <c r="L215" s="8" t="s">
        <v>150</v>
      </c>
      <c r="M215" s="8" t="s">
        <v>151</v>
      </c>
      <c r="N215" s="8" t="s">
        <v>31</v>
      </c>
      <c r="O215" s="8" t="s">
        <v>31</v>
      </c>
      <c r="P215" s="8" t="s">
        <v>31</v>
      </c>
      <c r="Q215" s="9" t="s">
        <v>1024</v>
      </c>
      <c r="R215" s="8" t="s">
        <v>53</v>
      </c>
      <c r="S215" s="10">
        <v>45432</v>
      </c>
      <c r="T215" s="8" t="s">
        <v>1025</v>
      </c>
      <c r="U215" s="8" t="s">
        <v>154</v>
      </c>
      <c r="V215" s="8" t="s">
        <v>155</v>
      </c>
      <c r="W215" s="8" t="s">
        <v>156</v>
      </c>
      <c r="X215" s="8" t="s">
        <v>58</v>
      </c>
      <c r="Y215" s="8" t="s">
        <v>58</v>
      </c>
      <c r="Z215" s="8" t="s">
        <v>31</v>
      </c>
      <c r="AA215" s="8" t="s">
        <v>1026</v>
      </c>
    </row>
    <row r="216" spans="1:28">
      <c r="A216" s="8">
        <v>215</v>
      </c>
      <c r="B216" s="8" t="s">
        <v>1027</v>
      </c>
      <c r="C216" s="8" t="s">
        <v>1007</v>
      </c>
      <c r="D216" s="8" t="s">
        <v>1012</v>
      </c>
      <c r="E216" s="8">
        <v>4</v>
      </c>
      <c r="F216" s="8" t="str">
        <f t="shared" si="14"/>
        <v>Sub-indicator</v>
      </c>
      <c r="G216" s="8">
        <v>1</v>
      </c>
      <c r="H216" s="8" t="s">
        <v>1028</v>
      </c>
      <c r="I216" s="8" t="s">
        <v>1014</v>
      </c>
      <c r="J216" s="8" t="str">
        <f t="shared" si="17"/>
        <v>RIGHTS</v>
      </c>
      <c r="K216" s="8" t="str">
        <f t="shared" si="18"/>
        <v>PARTICIPATION, RIGHTS &amp; INCLUSION</v>
      </c>
      <c r="L216" s="8" t="s">
        <v>1015</v>
      </c>
      <c r="M216" s="8" t="s">
        <v>1016</v>
      </c>
      <c r="N216" s="8" t="s">
        <v>151</v>
      </c>
      <c r="O216" s="8" t="s">
        <v>31</v>
      </c>
      <c r="P216" s="8" t="s">
        <v>31</v>
      </c>
      <c r="Q216" s="9" t="s">
        <v>1029</v>
      </c>
      <c r="R216" s="8" t="s">
        <v>53</v>
      </c>
      <c r="S216" s="10">
        <v>45427</v>
      </c>
      <c r="T216" s="8" t="s">
        <v>1030</v>
      </c>
      <c r="U216" s="8" t="s">
        <v>229</v>
      </c>
      <c r="V216" s="8" t="s">
        <v>155</v>
      </c>
      <c r="W216" s="8" t="s">
        <v>1019</v>
      </c>
      <c r="X216" s="8" t="s">
        <v>58</v>
      </c>
      <c r="Y216" s="8" t="s">
        <v>58</v>
      </c>
      <c r="Z216" s="8" t="s">
        <v>31</v>
      </c>
      <c r="AA216" s="8" t="s">
        <v>1021</v>
      </c>
    </row>
    <row r="217" spans="1:28">
      <c r="A217" s="8">
        <v>216</v>
      </c>
      <c r="B217" s="8" t="s">
        <v>1031</v>
      </c>
      <c r="C217" s="8" t="s">
        <v>1007</v>
      </c>
      <c r="D217" s="8" t="s">
        <v>1012</v>
      </c>
      <c r="E217" s="8">
        <v>4</v>
      </c>
      <c r="F217" s="8" t="s">
        <v>136</v>
      </c>
      <c r="G217" s="8">
        <v>0</v>
      </c>
      <c r="H217" s="8" t="s">
        <v>1032</v>
      </c>
      <c r="I217" s="8" t="s">
        <v>255</v>
      </c>
      <c r="J217" s="8" t="str">
        <f t="shared" si="17"/>
        <v>RIGHTS</v>
      </c>
      <c r="K217" s="8" t="str">
        <f t="shared" si="18"/>
        <v>PARTICIPATION, RIGHTS &amp; INCLUSION</v>
      </c>
      <c r="L217" s="8" t="s">
        <v>33</v>
      </c>
      <c r="M217" s="8" t="s">
        <v>31</v>
      </c>
      <c r="N217" s="8" t="s">
        <v>31</v>
      </c>
      <c r="O217" s="8" t="s">
        <v>31</v>
      </c>
      <c r="P217" s="8" t="s">
        <v>31</v>
      </c>
      <c r="Q217" s="9" t="s">
        <v>1033</v>
      </c>
      <c r="R217" s="8" t="s">
        <v>31</v>
      </c>
      <c r="S217" s="10" t="s">
        <v>31</v>
      </c>
      <c r="T217" s="8" t="s">
        <v>31</v>
      </c>
      <c r="U217" s="8" t="s">
        <v>31</v>
      </c>
      <c r="V217" s="8" t="s">
        <v>31</v>
      </c>
      <c r="W217" s="8" t="s">
        <v>31</v>
      </c>
      <c r="X217" s="8" t="s">
        <v>31</v>
      </c>
      <c r="Y217" s="8" t="s">
        <v>31</v>
      </c>
      <c r="Z217" s="8" t="s">
        <v>31</v>
      </c>
    </row>
    <row r="218" spans="1:28">
      <c r="A218" s="8">
        <v>217</v>
      </c>
      <c r="B218" s="8" t="s">
        <v>1034</v>
      </c>
      <c r="C218" s="8" t="s">
        <v>1031</v>
      </c>
      <c r="D218" s="8" t="s">
        <v>1032</v>
      </c>
      <c r="E218" s="8">
        <v>5</v>
      </c>
      <c r="F218" s="8" t="s">
        <v>92</v>
      </c>
      <c r="G218" s="8">
        <v>1</v>
      </c>
      <c r="H218" s="8" t="s">
        <v>1035</v>
      </c>
      <c r="I218" s="8" t="s">
        <v>267</v>
      </c>
      <c r="J218" s="8" t="str">
        <f t="shared" si="17"/>
        <v>RIGHTS</v>
      </c>
      <c r="K218" s="8" t="str">
        <f t="shared" si="18"/>
        <v>PARTICIPATION, RIGHTS &amp; INCLUSION</v>
      </c>
      <c r="L218" s="8" t="s">
        <v>268</v>
      </c>
      <c r="M218" s="8" t="s">
        <v>269</v>
      </c>
      <c r="N218" s="8" t="s">
        <v>31</v>
      </c>
      <c r="O218" s="8" t="s">
        <v>31</v>
      </c>
      <c r="P218" s="8" t="s">
        <v>31</v>
      </c>
      <c r="Q218" s="9" t="s">
        <v>1036</v>
      </c>
      <c r="R218" s="8" t="s">
        <v>53</v>
      </c>
      <c r="S218" s="10">
        <v>45481</v>
      </c>
      <c r="T218" s="8" t="s">
        <v>1037</v>
      </c>
      <c r="U218" s="8" t="s">
        <v>196</v>
      </c>
      <c r="V218" s="8" t="s">
        <v>155</v>
      </c>
      <c r="W218" s="8" t="s">
        <v>272</v>
      </c>
      <c r="X218" s="8" t="s">
        <v>58</v>
      </c>
      <c r="Y218" s="8" t="s">
        <v>58</v>
      </c>
      <c r="Z218" s="8" t="s">
        <v>31</v>
      </c>
      <c r="AA218" s="8" t="s">
        <v>273</v>
      </c>
    </row>
    <row r="219" spans="1:28">
      <c r="A219" s="8">
        <v>218</v>
      </c>
      <c r="B219" s="8" t="s">
        <v>1038</v>
      </c>
      <c r="C219" s="8" t="s">
        <v>1031</v>
      </c>
      <c r="D219" s="8" t="s">
        <v>1032</v>
      </c>
      <c r="E219" s="8">
        <v>5</v>
      </c>
      <c r="F219" s="8" t="s">
        <v>92</v>
      </c>
      <c r="G219" s="8">
        <v>1</v>
      </c>
      <c r="H219" s="8" t="s">
        <v>1039</v>
      </c>
      <c r="I219" s="8" t="s">
        <v>149</v>
      </c>
      <c r="J219" s="8" t="str">
        <f t="shared" si="17"/>
        <v>RIGHTS</v>
      </c>
      <c r="K219" s="8" t="str">
        <f t="shared" si="18"/>
        <v>PARTICIPATION, RIGHTS &amp; INCLUSION</v>
      </c>
      <c r="L219" s="8" t="s">
        <v>150</v>
      </c>
      <c r="M219" s="8" t="s">
        <v>151</v>
      </c>
      <c r="N219" s="8" t="s">
        <v>31</v>
      </c>
      <c r="O219" s="8" t="s">
        <v>31</v>
      </c>
      <c r="P219" s="8" t="s">
        <v>31</v>
      </c>
      <c r="Q219" s="9" t="s">
        <v>1040</v>
      </c>
      <c r="R219" s="8" t="s">
        <v>53</v>
      </c>
      <c r="S219" s="10">
        <v>45432</v>
      </c>
      <c r="T219" s="8" t="s">
        <v>1041</v>
      </c>
      <c r="U219" s="8" t="s">
        <v>862</v>
      </c>
      <c r="V219" s="8" t="s">
        <v>155</v>
      </c>
      <c r="W219" s="8" t="s">
        <v>156</v>
      </c>
      <c r="X219" s="8" t="s">
        <v>58</v>
      </c>
      <c r="Y219" s="8" t="s">
        <v>58</v>
      </c>
      <c r="Z219" s="8" t="s">
        <v>31</v>
      </c>
      <c r="AB219" s="8" t="s">
        <v>157</v>
      </c>
    </row>
    <row r="220" spans="1:28">
      <c r="A220" s="8">
        <v>219</v>
      </c>
      <c r="B220" s="8" t="s">
        <v>1042</v>
      </c>
      <c r="C220" s="8" t="s">
        <v>904</v>
      </c>
      <c r="D220" s="8" t="s">
        <v>904</v>
      </c>
      <c r="E220" s="12">
        <v>3</v>
      </c>
      <c r="F220" s="12" t="str">
        <f t="shared" ref="F220:F266" si="19">IF(E220=0,"Overall",IF(E220=1,"Category",IF(E220=2,"Sub-category",IF(E220=3,"Indicator",IF(E220=4,"Sub-indicator", "Sub-sub-indicator")))))</f>
        <v>Indicator</v>
      </c>
      <c r="G220" s="8">
        <v>0</v>
      </c>
      <c r="H220" s="12" t="s">
        <v>1043</v>
      </c>
      <c r="I220" s="8" t="s">
        <v>267</v>
      </c>
      <c r="J220" s="8" t="str">
        <f t="shared" si="17"/>
        <v>RIGHTS</v>
      </c>
      <c r="K220" s="8" t="str">
        <f t="shared" si="18"/>
        <v>PARTICIPATION, RIGHTS &amp; INCLUSION</v>
      </c>
      <c r="L220" s="8" t="s">
        <v>33</v>
      </c>
      <c r="M220" s="8" t="s">
        <v>31</v>
      </c>
      <c r="N220" s="8" t="s">
        <v>31</v>
      </c>
      <c r="O220" s="8" t="s">
        <v>31</v>
      </c>
      <c r="P220" s="8" t="s">
        <v>31</v>
      </c>
      <c r="Q220" s="9" t="s">
        <v>1044</v>
      </c>
      <c r="R220" s="8" t="s">
        <v>31</v>
      </c>
      <c r="S220" s="10" t="s">
        <v>31</v>
      </c>
      <c r="T220" s="8" t="s">
        <v>31</v>
      </c>
      <c r="U220" s="8" t="s">
        <v>31</v>
      </c>
      <c r="V220" s="8" t="s">
        <v>31</v>
      </c>
      <c r="W220" s="8" t="s">
        <v>31</v>
      </c>
      <c r="X220" s="8" t="s">
        <v>31</v>
      </c>
      <c r="Y220" s="8" t="s">
        <v>31</v>
      </c>
      <c r="Z220" s="8" t="s">
        <v>31</v>
      </c>
    </row>
    <row r="221" spans="1:28">
      <c r="A221" s="8">
        <v>220</v>
      </c>
      <c r="B221" s="8" t="s">
        <v>1045</v>
      </c>
      <c r="C221" s="8" t="s">
        <v>1042</v>
      </c>
      <c r="D221" s="8" t="s">
        <v>1043</v>
      </c>
      <c r="E221" s="8">
        <v>4</v>
      </c>
      <c r="F221" s="8" t="str">
        <f t="shared" si="19"/>
        <v>Sub-indicator</v>
      </c>
      <c r="G221" s="8">
        <v>1</v>
      </c>
      <c r="H221" s="8" t="s">
        <v>1046</v>
      </c>
      <c r="I221" s="8" t="s">
        <v>267</v>
      </c>
      <c r="J221" s="8" t="str">
        <f t="shared" si="17"/>
        <v>RIGHTS</v>
      </c>
      <c r="K221" s="8" t="str">
        <f t="shared" si="18"/>
        <v>PARTICIPATION, RIGHTS &amp; INCLUSION</v>
      </c>
      <c r="L221" s="8" t="s">
        <v>268</v>
      </c>
      <c r="M221" s="8" t="s">
        <v>269</v>
      </c>
      <c r="N221" s="8" t="s">
        <v>31</v>
      </c>
      <c r="O221" s="8" t="s">
        <v>31</v>
      </c>
      <c r="P221" s="8" t="s">
        <v>31</v>
      </c>
      <c r="Q221" s="9" t="s">
        <v>1047</v>
      </c>
      <c r="R221" s="8" t="s">
        <v>53</v>
      </c>
      <c r="S221" s="10">
        <v>45481</v>
      </c>
      <c r="T221" s="8" t="s">
        <v>1048</v>
      </c>
      <c r="U221" s="8" t="s">
        <v>196</v>
      </c>
      <c r="V221" s="8" t="s">
        <v>155</v>
      </c>
      <c r="W221" s="8" t="s">
        <v>272</v>
      </c>
      <c r="X221" s="8" t="s">
        <v>58</v>
      </c>
      <c r="Y221" s="8" t="s">
        <v>58</v>
      </c>
      <c r="Z221" s="8" t="s">
        <v>31</v>
      </c>
      <c r="AA221" s="8" t="s">
        <v>273</v>
      </c>
    </row>
    <row r="222" spans="1:28">
      <c r="A222" s="8">
        <v>221</v>
      </c>
      <c r="B222" s="8" t="s">
        <v>1049</v>
      </c>
      <c r="C222" s="8" t="s">
        <v>1042</v>
      </c>
      <c r="D222" s="8" t="s">
        <v>1043</v>
      </c>
      <c r="E222" s="8">
        <v>4</v>
      </c>
      <c r="F222" s="8" t="str">
        <f t="shared" si="19"/>
        <v>Sub-indicator</v>
      </c>
      <c r="G222" s="8">
        <v>1</v>
      </c>
      <c r="H222" s="8" t="s">
        <v>1050</v>
      </c>
      <c r="I222" s="8" t="s">
        <v>267</v>
      </c>
      <c r="J222" s="8" t="str">
        <f t="shared" si="17"/>
        <v>RIGHTS</v>
      </c>
      <c r="K222" s="8" t="str">
        <f t="shared" si="18"/>
        <v>PARTICIPATION, RIGHTS &amp; INCLUSION</v>
      </c>
      <c r="L222" s="8" t="s">
        <v>268</v>
      </c>
      <c r="M222" s="8" t="s">
        <v>269</v>
      </c>
      <c r="N222" s="8" t="s">
        <v>31</v>
      </c>
      <c r="O222" s="8" t="s">
        <v>31</v>
      </c>
      <c r="P222" s="8" t="s">
        <v>31</v>
      </c>
      <c r="Q222" s="9" t="s">
        <v>1051</v>
      </c>
      <c r="R222" s="8" t="s">
        <v>53</v>
      </c>
      <c r="S222" s="10">
        <v>45481</v>
      </c>
      <c r="T222" s="8" t="s">
        <v>1052</v>
      </c>
      <c r="U222" s="8" t="s">
        <v>196</v>
      </c>
      <c r="V222" s="8" t="s">
        <v>155</v>
      </c>
      <c r="W222" s="8" t="s">
        <v>272</v>
      </c>
      <c r="X222" s="8" t="s">
        <v>58</v>
      </c>
      <c r="Y222" s="8" t="s">
        <v>58</v>
      </c>
      <c r="Z222" s="8" t="s">
        <v>31</v>
      </c>
      <c r="AA222" s="8" t="s">
        <v>273</v>
      </c>
    </row>
    <row r="223" spans="1:28">
      <c r="A223" s="8">
        <v>222</v>
      </c>
      <c r="B223" s="8" t="s">
        <v>1053</v>
      </c>
      <c r="C223" s="8" t="s">
        <v>1042</v>
      </c>
      <c r="D223" s="8" t="s">
        <v>1043</v>
      </c>
      <c r="E223" s="8">
        <v>4</v>
      </c>
      <c r="F223" s="8" t="str">
        <f t="shared" si="19"/>
        <v>Sub-indicator</v>
      </c>
      <c r="G223" s="8">
        <v>1</v>
      </c>
      <c r="H223" s="8" t="s">
        <v>1054</v>
      </c>
      <c r="I223" s="8" t="s">
        <v>267</v>
      </c>
      <c r="J223" s="8" t="str">
        <f t="shared" si="17"/>
        <v>RIGHTS</v>
      </c>
      <c r="K223" s="8" t="str">
        <f t="shared" si="18"/>
        <v>PARTICIPATION, RIGHTS &amp; INCLUSION</v>
      </c>
      <c r="L223" s="8" t="s">
        <v>268</v>
      </c>
      <c r="M223" s="8" t="s">
        <v>269</v>
      </c>
      <c r="N223" s="8" t="s">
        <v>31</v>
      </c>
      <c r="O223" s="8" t="s">
        <v>31</v>
      </c>
      <c r="P223" s="8" t="s">
        <v>31</v>
      </c>
      <c r="Q223" s="9" t="s">
        <v>1055</v>
      </c>
      <c r="R223" s="8" t="s">
        <v>53</v>
      </c>
      <c r="S223" s="10">
        <v>45481</v>
      </c>
      <c r="T223" s="8" t="s">
        <v>1056</v>
      </c>
      <c r="U223" s="8" t="s">
        <v>196</v>
      </c>
      <c r="V223" s="8" t="s">
        <v>155</v>
      </c>
      <c r="W223" s="8" t="s">
        <v>272</v>
      </c>
      <c r="X223" s="8" t="s">
        <v>58</v>
      </c>
      <c r="Y223" s="8" t="s">
        <v>58</v>
      </c>
      <c r="Z223" s="8" t="s">
        <v>31</v>
      </c>
      <c r="AA223" s="8" t="s">
        <v>273</v>
      </c>
    </row>
    <row r="224" spans="1:28">
      <c r="A224" s="8">
        <v>223</v>
      </c>
      <c r="B224" s="8" t="s">
        <v>1057</v>
      </c>
      <c r="C224" s="8" t="s">
        <v>904</v>
      </c>
      <c r="D224" s="8" t="s">
        <v>904</v>
      </c>
      <c r="E224" s="12">
        <v>3</v>
      </c>
      <c r="F224" s="12" t="s">
        <v>186</v>
      </c>
      <c r="G224" s="8">
        <v>1</v>
      </c>
      <c r="H224" s="12" t="s">
        <v>1058</v>
      </c>
      <c r="I224" s="8" t="s">
        <v>188</v>
      </c>
      <c r="J224" s="8" t="str">
        <f t="shared" si="17"/>
        <v>RIGHTS</v>
      </c>
      <c r="K224" s="8" t="str">
        <f t="shared" si="18"/>
        <v>PARTICIPATION, RIGHTS &amp; INCLUSION</v>
      </c>
      <c r="L224" s="8" t="s">
        <v>192</v>
      </c>
      <c r="M224" s="8" t="s">
        <v>193</v>
      </c>
      <c r="N224" s="8" t="s">
        <v>31</v>
      </c>
      <c r="O224" s="8" t="s">
        <v>31</v>
      </c>
      <c r="P224" s="8" t="s">
        <v>31</v>
      </c>
      <c r="Q224" s="8" t="s">
        <v>1059</v>
      </c>
      <c r="R224" s="8" t="s">
        <v>53</v>
      </c>
      <c r="S224" s="10">
        <v>45474</v>
      </c>
      <c r="T224" s="8" t="s">
        <v>1060</v>
      </c>
      <c r="U224" s="8" t="s">
        <v>196</v>
      </c>
      <c r="V224" s="8" t="s">
        <v>197</v>
      </c>
      <c r="W224" s="8" t="s">
        <v>198</v>
      </c>
      <c r="X224" s="8" t="s">
        <v>199</v>
      </c>
      <c r="Y224" s="8" t="s">
        <v>200</v>
      </c>
      <c r="Z224" s="8" t="s">
        <v>31</v>
      </c>
      <c r="AA224" s="8" t="s">
        <v>201</v>
      </c>
      <c r="AB224" s="8" t="s">
        <v>202</v>
      </c>
    </row>
    <row r="225" spans="1:28" s="6" customFormat="1">
      <c r="A225" s="6">
        <v>224</v>
      </c>
      <c r="B225" s="6" t="s">
        <v>1061</v>
      </c>
      <c r="C225" s="6" t="s">
        <v>755</v>
      </c>
      <c r="D225" s="6" t="s">
        <v>756</v>
      </c>
      <c r="E225" s="6">
        <v>2</v>
      </c>
      <c r="F225" s="6" t="str">
        <f t="shared" si="19"/>
        <v>Sub-category</v>
      </c>
      <c r="G225" s="6">
        <v>0</v>
      </c>
      <c r="H225" s="6" t="s">
        <v>1062</v>
      </c>
      <c r="I225" s="7" t="s">
        <v>31</v>
      </c>
      <c r="J225" s="6" t="s">
        <v>31</v>
      </c>
      <c r="K225" s="6" t="str">
        <f>$H$152</f>
        <v>PARTICIPATION, RIGHTS &amp; INCLUSION</v>
      </c>
      <c r="L225" s="6" t="s">
        <v>33</v>
      </c>
      <c r="M225" s="6" t="s">
        <v>31</v>
      </c>
      <c r="N225" s="6" t="s">
        <v>31</v>
      </c>
      <c r="O225" s="6" t="s">
        <v>31</v>
      </c>
      <c r="P225" s="6" t="s">
        <v>31</v>
      </c>
      <c r="Q225" s="6" t="s">
        <v>1063</v>
      </c>
      <c r="R225" s="6" t="s">
        <v>31</v>
      </c>
      <c r="S225" s="6" t="s">
        <v>31</v>
      </c>
      <c r="T225" s="6" t="s">
        <v>31</v>
      </c>
      <c r="U225" s="6" t="s">
        <v>31</v>
      </c>
      <c r="V225" s="6" t="s">
        <v>31</v>
      </c>
      <c r="W225" s="6" t="s">
        <v>31</v>
      </c>
      <c r="X225" s="6" t="s">
        <v>31</v>
      </c>
      <c r="Y225" s="6" t="s">
        <v>31</v>
      </c>
      <c r="Z225" s="6" t="s">
        <v>31</v>
      </c>
    </row>
    <row r="226" spans="1:28">
      <c r="A226" s="8">
        <v>225</v>
      </c>
      <c r="B226" s="8" t="s">
        <v>1064</v>
      </c>
      <c r="C226" s="8" t="s">
        <v>1061</v>
      </c>
      <c r="D226" s="8" t="s">
        <v>1062</v>
      </c>
      <c r="E226" s="12">
        <v>3</v>
      </c>
      <c r="F226" s="12" t="str">
        <f t="shared" si="19"/>
        <v>Indicator</v>
      </c>
      <c r="G226" s="8">
        <v>0</v>
      </c>
      <c r="H226" s="12" t="s">
        <v>1065</v>
      </c>
      <c r="I226" s="8" t="s">
        <v>149</v>
      </c>
      <c r="J226" s="8" t="str">
        <f>$H$225</f>
        <v>INCLUSION &amp; EQUALITY</v>
      </c>
      <c r="K226" s="8" t="str">
        <f>$H$152</f>
        <v>PARTICIPATION, RIGHTS &amp; INCLUSION</v>
      </c>
      <c r="L226" s="8" t="s">
        <v>33</v>
      </c>
      <c r="M226" s="8" t="s">
        <v>31</v>
      </c>
      <c r="N226" s="8" t="s">
        <v>31</v>
      </c>
      <c r="O226" s="8" t="s">
        <v>31</v>
      </c>
      <c r="P226" s="8" t="s">
        <v>31</v>
      </c>
      <c r="Q226" s="9" t="s">
        <v>1066</v>
      </c>
      <c r="R226" s="8" t="s">
        <v>31</v>
      </c>
      <c r="S226" s="10" t="s">
        <v>31</v>
      </c>
      <c r="T226" s="8" t="s">
        <v>31</v>
      </c>
      <c r="U226" s="8" t="s">
        <v>31</v>
      </c>
      <c r="V226" s="8" t="s">
        <v>31</v>
      </c>
      <c r="W226" s="8" t="s">
        <v>31</v>
      </c>
      <c r="X226" s="8" t="s">
        <v>31</v>
      </c>
      <c r="Y226" s="8" t="s">
        <v>31</v>
      </c>
      <c r="Z226" s="8" t="s">
        <v>31</v>
      </c>
    </row>
    <row r="227" spans="1:28" ht="14">
      <c r="A227" s="8">
        <v>226</v>
      </c>
      <c r="B227" s="8" t="s">
        <v>1067</v>
      </c>
      <c r="C227" s="8" t="s">
        <v>1064</v>
      </c>
      <c r="D227" s="8" t="s">
        <v>1065</v>
      </c>
      <c r="E227" s="8">
        <v>4</v>
      </c>
      <c r="F227" s="8" t="str">
        <f t="shared" si="19"/>
        <v>Sub-indicator</v>
      </c>
      <c r="G227" s="8">
        <v>1</v>
      </c>
      <c r="H227" s="8" t="s">
        <v>1068</v>
      </c>
      <c r="I227" s="8" t="s">
        <v>149</v>
      </c>
      <c r="J227" s="8" t="s">
        <v>1062</v>
      </c>
      <c r="K227" s="8" t="s">
        <v>756</v>
      </c>
      <c r="L227" s="8" t="s">
        <v>150</v>
      </c>
      <c r="M227" s="8" t="s">
        <v>151</v>
      </c>
      <c r="N227" s="8" t="s">
        <v>31</v>
      </c>
      <c r="O227" s="8" t="s">
        <v>31</v>
      </c>
      <c r="P227" s="8" t="s">
        <v>31</v>
      </c>
      <c r="Q227" s="9" t="s">
        <v>1069</v>
      </c>
      <c r="R227" s="8" t="s">
        <v>53</v>
      </c>
      <c r="S227" s="10">
        <v>45432</v>
      </c>
      <c r="T227" s="8" t="s">
        <v>1070</v>
      </c>
      <c r="U227" s="8" t="s">
        <v>229</v>
      </c>
      <c r="V227" s="8" t="s">
        <v>155</v>
      </c>
      <c r="W227" s="8" t="s">
        <v>156</v>
      </c>
      <c r="X227" s="8" t="s">
        <v>58</v>
      </c>
      <c r="Y227" s="8" t="s">
        <v>58</v>
      </c>
      <c r="Z227" s="8" t="s">
        <v>31</v>
      </c>
      <c r="AB227" s="8" t="s">
        <v>157</v>
      </c>
    </row>
    <row r="228" spans="1:28">
      <c r="A228" s="8">
        <v>227</v>
      </c>
      <c r="B228" s="8" t="s">
        <v>1071</v>
      </c>
      <c r="C228" s="8" t="s">
        <v>1064</v>
      </c>
      <c r="D228" s="8" t="s">
        <v>1065</v>
      </c>
      <c r="E228" s="8">
        <v>4</v>
      </c>
      <c r="F228" s="8" t="str">
        <f t="shared" si="19"/>
        <v>Sub-indicator</v>
      </c>
      <c r="G228" s="8">
        <v>1</v>
      </c>
      <c r="H228" s="8" t="s">
        <v>1072</v>
      </c>
      <c r="I228" s="8" t="s">
        <v>149</v>
      </c>
      <c r="J228" s="8" t="s">
        <v>1062</v>
      </c>
      <c r="K228" s="8" t="s">
        <v>756</v>
      </c>
      <c r="L228" s="8" t="s">
        <v>150</v>
      </c>
      <c r="M228" s="8" t="s">
        <v>151</v>
      </c>
      <c r="N228" s="8" t="s">
        <v>31</v>
      </c>
      <c r="O228" s="8" t="s">
        <v>31</v>
      </c>
      <c r="P228" s="8" t="s">
        <v>31</v>
      </c>
      <c r="Q228" s="9" t="s">
        <v>1073</v>
      </c>
      <c r="R228" s="8" t="s">
        <v>53</v>
      </c>
      <c r="S228" s="13">
        <v>45432</v>
      </c>
      <c r="T228" s="8" t="s">
        <v>1074</v>
      </c>
      <c r="U228" s="8" t="s">
        <v>229</v>
      </c>
      <c r="V228" s="8" t="s">
        <v>155</v>
      </c>
      <c r="W228" s="8" t="s">
        <v>156</v>
      </c>
      <c r="X228" s="8" t="s">
        <v>58</v>
      </c>
      <c r="Y228" s="8" t="s">
        <v>58</v>
      </c>
      <c r="Z228" s="8" t="s">
        <v>31</v>
      </c>
      <c r="AA228" s="8" t="s">
        <v>1075</v>
      </c>
      <c r="AB228" s="8" t="s">
        <v>157</v>
      </c>
    </row>
    <row r="229" spans="1:28" ht="14">
      <c r="A229" s="8">
        <v>228</v>
      </c>
      <c r="B229" s="8" t="s">
        <v>1076</v>
      </c>
      <c r="C229" s="8" t="s">
        <v>1064</v>
      </c>
      <c r="D229" s="8" t="s">
        <v>1065</v>
      </c>
      <c r="E229" s="8">
        <v>4</v>
      </c>
      <c r="F229" s="8" t="str">
        <f t="shared" si="19"/>
        <v>Sub-indicator</v>
      </c>
      <c r="G229" s="8">
        <v>1</v>
      </c>
      <c r="H229" s="8" t="s">
        <v>1077</v>
      </c>
      <c r="I229" s="8" t="s">
        <v>149</v>
      </c>
      <c r="J229" s="8" t="s">
        <v>1062</v>
      </c>
      <c r="K229" s="8" t="s">
        <v>756</v>
      </c>
      <c r="L229" s="8" t="s">
        <v>150</v>
      </c>
      <c r="M229" s="8" t="s">
        <v>151</v>
      </c>
      <c r="N229" s="8" t="s">
        <v>31</v>
      </c>
      <c r="O229" s="8" t="s">
        <v>31</v>
      </c>
      <c r="P229" s="8" t="s">
        <v>31</v>
      </c>
      <c r="Q229" s="9" t="s">
        <v>1078</v>
      </c>
      <c r="R229" s="8" t="s">
        <v>53</v>
      </c>
      <c r="S229" s="10">
        <v>45432</v>
      </c>
      <c r="T229" s="8" t="s">
        <v>1079</v>
      </c>
      <c r="U229" s="8" t="s">
        <v>229</v>
      </c>
      <c r="V229" s="8" t="s">
        <v>155</v>
      </c>
      <c r="W229" s="8" t="s">
        <v>156</v>
      </c>
      <c r="X229" s="8" t="s">
        <v>58</v>
      </c>
      <c r="Y229" s="8" t="s">
        <v>58</v>
      </c>
      <c r="Z229" s="8" t="s">
        <v>31</v>
      </c>
      <c r="AB229" s="8" t="s">
        <v>157</v>
      </c>
    </row>
    <row r="230" spans="1:28">
      <c r="A230" s="8">
        <v>229</v>
      </c>
      <c r="B230" s="8" t="s">
        <v>1080</v>
      </c>
      <c r="C230" s="8" t="s">
        <v>1064</v>
      </c>
      <c r="D230" s="8" t="s">
        <v>1065</v>
      </c>
      <c r="E230" s="8">
        <v>4</v>
      </c>
      <c r="F230" s="8" t="str">
        <f t="shared" si="19"/>
        <v>Sub-indicator</v>
      </c>
      <c r="G230" s="8">
        <v>1</v>
      </c>
      <c r="H230" s="8" t="s">
        <v>1081</v>
      </c>
      <c r="I230" s="8" t="s">
        <v>149</v>
      </c>
      <c r="J230" s="8" t="s">
        <v>1062</v>
      </c>
      <c r="K230" s="8" t="s">
        <v>756</v>
      </c>
      <c r="L230" s="8" t="s">
        <v>150</v>
      </c>
      <c r="M230" s="8" t="s">
        <v>151</v>
      </c>
      <c r="N230" s="8" t="s">
        <v>31</v>
      </c>
      <c r="O230" s="8" t="s">
        <v>31</v>
      </c>
      <c r="P230" s="8" t="s">
        <v>31</v>
      </c>
      <c r="Q230" s="9" t="s">
        <v>1082</v>
      </c>
      <c r="R230" s="8" t="s">
        <v>53</v>
      </c>
      <c r="S230" s="10">
        <v>45432</v>
      </c>
      <c r="T230" s="8" t="s">
        <v>1083</v>
      </c>
      <c r="U230" s="8" t="s">
        <v>871</v>
      </c>
      <c r="V230" s="8" t="s">
        <v>155</v>
      </c>
      <c r="W230" s="8" t="s">
        <v>156</v>
      </c>
      <c r="X230" s="8" t="s">
        <v>58</v>
      </c>
      <c r="Y230" s="8" t="s">
        <v>58</v>
      </c>
      <c r="Z230" s="8" t="s">
        <v>31</v>
      </c>
      <c r="AA230" s="8" t="s">
        <v>1084</v>
      </c>
      <c r="AB230" s="8" t="s">
        <v>157</v>
      </c>
    </row>
    <row r="231" spans="1:28">
      <c r="A231" s="8">
        <v>230</v>
      </c>
      <c r="B231" s="8" t="s">
        <v>1085</v>
      </c>
      <c r="C231" s="8" t="s">
        <v>1061</v>
      </c>
      <c r="D231" s="8" t="s">
        <v>1062</v>
      </c>
      <c r="E231" s="12">
        <v>3</v>
      </c>
      <c r="F231" s="12" t="str">
        <f t="shared" si="19"/>
        <v>Indicator</v>
      </c>
      <c r="G231" s="8">
        <v>0</v>
      </c>
      <c r="H231" s="12" t="s">
        <v>1086</v>
      </c>
      <c r="I231" s="8" t="s">
        <v>1087</v>
      </c>
      <c r="J231" s="8" t="str">
        <f>H225</f>
        <v>INCLUSION &amp; EQUALITY</v>
      </c>
      <c r="K231" s="8" t="str">
        <f>H152</f>
        <v>PARTICIPATION, RIGHTS &amp; INCLUSION</v>
      </c>
      <c r="L231" s="8" t="s">
        <v>33</v>
      </c>
      <c r="M231" s="8" t="s">
        <v>31</v>
      </c>
      <c r="N231" s="8" t="s">
        <v>31</v>
      </c>
      <c r="O231" s="8" t="s">
        <v>31</v>
      </c>
      <c r="P231" s="8" t="s">
        <v>31</v>
      </c>
      <c r="Q231" s="9" t="s">
        <v>1088</v>
      </c>
      <c r="R231" s="8" t="s">
        <v>31</v>
      </c>
      <c r="S231" s="10" t="s">
        <v>31</v>
      </c>
      <c r="T231" s="8" t="s">
        <v>31</v>
      </c>
      <c r="U231" s="8" t="s">
        <v>31</v>
      </c>
      <c r="V231" s="8" t="s">
        <v>31</v>
      </c>
      <c r="W231" s="8" t="s">
        <v>31</v>
      </c>
      <c r="X231" s="8" t="s">
        <v>31</v>
      </c>
      <c r="Y231" s="8" t="s">
        <v>31</v>
      </c>
      <c r="Z231" s="8" t="s">
        <v>31</v>
      </c>
    </row>
    <row r="232" spans="1:28">
      <c r="A232" s="8">
        <v>231</v>
      </c>
      <c r="B232" s="8" t="s">
        <v>1089</v>
      </c>
      <c r="C232" s="8" t="s">
        <v>1085</v>
      </c>
      <c r="D232" s="8" t="s">
        <v>1086</v>
      </c>
      <c r="E232" s="8">
        <v>4</v>
      </c>
      <c r="F232" s="8" t="str">
        <f t="shared" si="19"/>
        <v>Sub-indicator</v>
      </c>
      <c r="G232" s="8">
        <v>1</v>
      </c>
      <c r="H232" s="8" t="s">
        <v>1090</v>
      </c>
      <c r="I232" s="8" t="s">
        <v>339</v>
      </c>
      <c r="J232" s="8" t="str">
        <f t="shared" ref="J232:J247" si="20">$H$225</f>
        <v>INCLUSION &amp; EQUALITY</v>
      </c>
      <c r="K232" s="8" t="str">
        <f t="shared" ref="K232:K247" si="21">$H$152</f>
        <v>PARTICIPATION, RIGHTS &amp; INCLUSION</v>
      </c>
      <c r="L232" s="8" t="s">
        <v>340</v>
      </c>
      <c r="M232" s="8" t="s">
        <v>341</v>
      </c>
      <c r="N232" s="8" t="s">
        <v>31</v>
      </c>
      <c r="O232" s="8" t="s">
        <v>31</v>
      </c>
      <c r="P232" s="8" t="s">
        <v>31</v>
      </c>
      <c r="Q232" s="9" t="s">
        <v>1091</v>
      </c>
      <c r="R232" s="8" t="s">
        <v>53</v>
      </c>
      <c r="S232" s="10">
        <v>45428</v>
      </c>
      <c r="T232" s="8" t="s">
        <v>1092</v>
      </c>
      <c r="U232" s="8" t="s">
        <v>229</v>
      </c>
      <c r="V232" s="8" t="s">
        <v>155</v>
      </c>
      <c r="W232" s="8" t="s">
        <v>344</v>
      </c>
      <c r="X232" s="8" t="s">
        <v>58</v>
      </c>
      <c r="Y232" s="8" t="s">
        <v>58</v>
      </c>
      <c r="Z232" s="8" t="s">
        <v>31</v>
      </c>
      <c r="AA232" s="8" t="s">
        <v>273</v>
      </c>
    </row>
    <row r="233" spans="1:28">
      <c r="A233" s="8">
        <v>232</v>
      </c>
      <c r="B233" s="8" t="s">
        <v>1093</v>
      </c>
      <c r="C233" s="8" t="s">
        <v>1085</v>
      </c>
      <c r="D233" s="8" t="s">
        <v>1086</v>
      </c>
      <c r="E233" s="8">
        <v>4</v>
      </c>
      <c r="F233" s="8" t="str">
        <f t="shared" si="19"/>
        <v>Sub-indicator</v>
      </c>
      <c r="G233" s="8">
        <v>0</v>
      </c>
      <c r="H233" s="8" t="s">
        <v>1094</v>
      </c>
      <c r="I233" s="8" t="s">
        <v>1095</v>
      </c>
      <c r="J233" s="8" t="str">
        <f t="shared" si="20"/>
        <v>INCLUSION &amp; EQUALITY</v>
      </c>
      <c r="K233" s="8" t="str">
        <f t="shared" si="21"/>
        <v>PARTICIPATION, RIGHTS &amp; INCLUSION</v>
      </c>
      <c r="L233" s="8" t="s">
        <v>33</v>
      </c>
      <c r="M233" s="8" t="s">
        <v>31</v>
      </c>
      <c r="N233" s="8" t="s">
        <v>31</v>
      </c>
      <c r="O233" s="8" t="s">
        <v>31</v>
      </c>
      <c r="P233" s="8" t="s">
        <v>31</v>
      </c>
      <c r="Q233" s="9" t="s">
        <v>1096</v>
      </c>
      <c r="R233" s="8" t="s">
        <v>31</v>
      </c>
      <c r="S233" s="10" t="s">
        <v>31</v>
      </c>
      <c r="T233" s="8" t="s">
        <v>31</v>
      </c>
      <c r="U233" s="8" t="s">
        <v>31</v>
      </c>
      <c r="V233" s="8" t="s">
        <v>31</v>
      </c>
      <c r="W233" s="8" t="s">
        <v>31</v>
      </c>
      <c r="X233" s="8" t="s">
        <v>31</v>
      </c>
      <c r="Y233" s="8" t="s">
        <v>31</v>
      </c>
      <c r="Z233" s="8" t="s">
        <v>31</v>
      </c>
    </row>
    <row r="234" spans="1:28">
      <c r="A234" s="8">
        <v>233</v>
      </c>
      <c r="B234" s="8" t="s">
        <v>1097</v>
      </c>
      <c r="C234" s="8" t="s">
        <v>1093</v>
      </c>
      <c r="D234" s="8" t="s">
        <v>1094</v>
      </c>
      <c r="E234" s="8">
        <v>5</v>
      </c>
      <c r="F234" s="8" t="str">
        <f t="shared" si="19"/>
        <v>Sub-sub-indicator</v>
      </c>
      <c r="G234" s="8">
        <v>1</v>
      </c>
      <c r="H234" s="8" t="s">
        <v>1098</v>
      </c>
      <c r="I234" s="8" t="s">
        <v>149</v>
      </c>
      <c r="J234" s="8" t="str">
        <f t="shared" si="20"/>
        <v>INCLUSION &amp; EQUALITY</v>
      </c>
      <c r="K234" s="8" t="str">
        <f t="shared" si="21"/>
        <v>PARTICIPATION, RIGHTS &amp; INCLUSION</v>
      </c>
      <c r="L234" s="8" t="s">
        <v>150</v>
      </c>
      <c r="M234" s="8" t="s">
        <v>151</v>
      </c>
      <c r="N234" s="8" t="s">
        <v>31</v>
      </c>
      <c r="O234" s="8" t="s">
        <v>31</v>
      </c>
      <c r="P234" s="8" t="s">
        <v>31</v>
      </c>
      <c r="Q234" s="9" t="s">
        <v>1099</v>
      </c>
      <c r="R234" s="8" t="s">
        <v>53</v>
      </c>
      <c r="S234" s="10">
        <v>45432</v>
      </c>
      <c r="T234" s="8" t="s">
        <v>1100</v>
      </c>
      <c r="U234" s="8" t="s">
        <v>229</v>
      </c>
      <c r="V234" s="8" t="s">
        <v>155</v>
      </c>
      <c r="W234" s="8" t="s">
        <v>156</v>
      </c>
      <c r="X234" s="8" t="s">
        <v>642</v>
      </c>
      <c r="Y234" s="8" t="s">
        <v>58</v>
      </c>
      <c r="Z234" s="8" t="s">
        <v>31</v>
      </c>
      <c r="AA234" s="8" t="s">
        <v>1101</v>
      </c>
      <c r="AB234" s="8" t="s">
        <v>157</v>
      </c>
    </row>
    <row r="235" spans="1:28">
      <c r="A235" s="8">
        <v>234</v>
      </c>
      <c r="B235" s="8" t="s">
        <v>1102</v>
      </c>
      <c r="C235" s="8" t="s">
        <v>1093</v>
      </c>
      <c r="D235" s="8" t="s">
        <v>1094</v>
      </c>
      <c r="E235" s="8">
        <v>5</v>
      </c>
      <c r="F235" s="8" t="str">
        <f t="shared" si="19"/>
        <v>Sub-sub-indicator</v>
      </c>
      <c r="G235" s="8">
        <v>1</v>
      </c>
      <c r="H235" s="8" t="s">
        <v>1103</v>
      </c>
      <c r="I235" s="8" t="s">
        <v>1104</v>
      </c>
      <c r="J235" s="8" t="str">
        <f t="shared" si="20"/>
        <v>INCLUSION &amp; EQUALITY</v>
      </c>
      <c r="K235" s="8" t="str">
        <f t="shared" si="21"/>
        <v>PARTICIPATION, RIGHTS &amp; INCLUSION</v>
      </c>
      <c r="L235" s="8" t="s">
        <v>1105</v>
      </c>
      <c r="M235" s="8" t="s">
        <v>1106</v>
      </c>
      <c r="N235" s="8" t="s">
        <v>31</v>
      </c>
      <c r="O235" s="8" t="s">
        <v>31</v>
      </c>
      <c r="P235" s="8" t="s">
        <v>31</v>
      </c>
      <c r="Q235" s="9" t="s">
        <v>1107</v>
      </c>
      <c r="R235" s="8" t="s">
        <v>1108</v>
      </c>
      <c r="S235" s="10">
        <v>44775</v>
      </c>
      <c r="T235" s="8" t="s">
        <v>1109</v>
      </c>
      <c r="U235" s="8" t="s">
        <v>196</v>
      </c>
      <c r="V235" s="8" t="s">
        <v>155</v>
      </c>
      <c r="W235" s="8" t="s">
        <v>1110</v>
      </c>
      <c r="X235" s="8" t="s">
        <v>1111</v>
      </c>
      <c r="Y235" s="8" t="s">
        <v>1112</v>
      </c>
      <c r="Z235" s="8" t="s">
        <v>31</v>
      </c>
      <c r="AA235" s="8" t="s">
        <v>1113</v>
      </c>
      <c r="AB235" s="8" t="s">
        <v>1114</v>
      </c>
    </row>
    <row r="236" spans="1:28">
      <c r="A236" s="8">
        <v>235</v>
      </c>
      <c r="B236" s="8" t="s">
        <v>1115</v>
      </c>
      <c r="C236" s="8" t="s">
        <v>1061</v>
      </c>
      <c r="D236" s="8" t="s">
        <v>1062</v>
      </c>
      <c r="E236" s="12">
        <v>3</v>
      </c>
      <c r="F236" s="12" t="str">
        <f t="shared" si="19"/>
        <v>Indicator</v>
      </c>
      <c r="G236" s="8">
        <v>0</v>
      </c>
      <c r="H236" s="12" t="s">
        <v>1116</v>
      </c>
      <c r="I236" s="8" t="s">
        <v>149</v>
      </c>
      <c r="J236" s="8" t="str">
        <f t="shared" si="20"/>
        <v>INCLUSION &amp; EQUALITY</v>
      </c>
      <c r="K236" s="8" t="str">
        <f t="shared" si="21"/>
        <v>PARTICIPATION, RIGHTS &amp; INCLUSION</v>
      </c>
      <c r="L236" s="8" t="s">
        <v>33</v>
      </c>
      <c r="M236" s="8" t="s">
        <v>31</v>
      </c>
      <c r="N236" s="8" t="s">
        <v>31</v>
      </c>
      <c r="O236" s="8" t="s">
        <v>31</v>
      </c>
      <c r="P236" s="8" t="s">
        <v>31</v>
      </c>
      <c r="Q236" s="9" t="s">
        <v>1117</v>
      </c>
      <c r="R236" s="8" t="s">
        <v>31</v>
      </c>
      <c r="S236" s="10" t="s">
        <v>31</v>
      </c>
      <c r="T236" s="8" t="s">
        <v>31</v>
      </c>
      <c r="U236" s="8" t="s">
        <v>31</v>
      </c>
      <c r="V236" s="8" t="s">
        <v>31</v>
      </c>
      <c r="W236" s="8" t="s">
        <v>31</v>
      </c>
      <c r="X236" s="8" t="s">
        <v>31</v>
      </c>
      <c r="Y236" s="8" t="s">
        <v>31</v>
      </c>
      <c r="Z236" s="8" t="s">
        <v>31</v>
      </c>
    </row>
    <row r="237" spans="1:28" ht="14">
      <c r="A237" s="8">
        <v>236</v>
      </c>
      <c r="B237" s="8" t="s">
        <v>1118</v>
      </c>
      <c r="C237" s="8" t="s">
        <v>1115</v>
      </c>
      <c r="D237" s="8" t="str">
        <f>$H$236</f>
        <v>Equal Civil Liberties</v>
      </c>
      <c r="E237" s="21">
        <v>4</v>
      </c>
      <c r="F237" s="8" t="str">
        <f t="shared" si="19"/>
        <v>Sub-indicator</v>
      </c>
      <c r="G237" s="8">
        <v>1</v>
      </c>
      <c r="H237" s="8" t="s">
        <v>1119</v>
      </c>
      <c r="I237" s="8" t="s">
        <v>149</v>
      </c>
      <c r="J237" s="8" t="str">
        <f t="shared" si="20"/>
        <v>INCLUSION &amp; EQUALITY</v>
      </c>
      <c r="K237" s="8" t="str">
        <f t="shared" si="21"/>
        <v>PARTICIPATION, RIGHTS &amp; INCLUSION</v>
      </c>
      <c r="L237" s="8" t="s">
        <v>150</v>
      </c>
      <c r="M237" s="8" t="s">
        <v>151</v>
      </c>
      <c r="N237" s="8" t="s">
        <v>31</v>
      </c>
      <c r="O237" s="8" t="s">
        <v>31</v>
      </c>
      <c r="P237" s="8" t="s">
        <v>31</v>
      </c>
      <c r="Q237" s="9" t="s">
        <v>1120</v>
      </c>
      <c r="R237" s="8" t="s">
        <v>53</v>
      </c>
      <c r="S237" s="10">
        <v>45432</v>
      </c>
      <c r="T237" s="8" t="s">
        <v>1121</v>
      </c>
      <c r="U237" s="8" t="s">
        <v>196</v>
      </c>
      <c r="V237" s="8" t="s">
        <v>56</v>
      </c>
      <c r="W237" s="8" t="s">
        <v>156</v>
      </c>
      <c r="X237" s="8" t="s">
        <v>58</v>
      </c>
      <c r="Y237" s="8" t="s">
        <v>58</v>
      </c>
      <c r="Z237" s="8" t="s">
        <v>31</v>
      </c>
      <c r="AB237" s="8" t="s">
        <v>157</v>
      </c>
    </row>
    <row r="238" spans="1:28">
      <c r="A238" s="8">
        <v>237</v>
      </c>
      <c r="B238" s="8" t="s">
        <v>1122</v>
      </c>
      <c r="C238" s="8" t="s">
        <v>1115</v>
      </c>
      <c r="D238" s="8" t="str">
        <f>$H$236</f>
        <v>Equal Civil Liberties</v>
      </c>
      <c r="E238" s="8">
        <v>4</v>
      </c>
      <c r="F238" s="8" t="str">
        <f t="shared" si="19"/>
        <v>Sub-indicator</v>
      </c>
      <c r="G238" s="8">
        <v>1</v>
      </c>
      <c r="H238" s="8" t="s">
        <v>1123</v>
      </c>
      <c r="I238" s="8" t="s">
        <v>149</v>
      </c>
      <c r="J238" s="8" t="str">
        <f t="shared" si="20"/>
        <v>INCLUSION &amp; EQUALITY</v>
      </c>
      <c r="K238" s="8" t="str">
        <f t="shared" si="21"/>
        <v>PARTICIPATION, RIGHTS &amp; INCLUSION</v>
      </c>
      <c r="L238" s="8" t="s">
        <v>150</v>
      </c>
      <c r="M238" s="8" t="s">
        <v>151</v>
      </c>
      <c r="N238" s="8" t="s">
        <v>31</v>
      </c>
      <c r="O238" s="8" t="s">
        <v>31</v>
      </c>
      <c r="P238" s="8" t="s">
        <v>31</v>
      </c>
      <c r="Q238" s="9" t="s">
        <v>1124</v>
      </c>
      <c r="R238" s="8" t="s">
        <v>53</v>
      </c>
      <c r="S238" s="10">
        <v>45432</v>
      </c>
      <c r="T238" s="8" t="s">
        <v>1125</v>
      </c>
      <c r="U238" s="8" t="s">
        <v>229</v>
      </c>
      <c r="V238" s="8" t="s">
        <v>155</v>
      </c>
      <c r="W238" s="8" t="s">
        <v>156</v>
      </c>
      <c r="X238" s="8" t="s">
        <v>58</v>
      </c>
      <c r="Y238" s="8" t="s">
        <v>58</v>
      </c>
      <c r="Z238" s="8" t="s">
        <v>31</v>
      </c>
      <c r="AB238" s="8" t="s">
        <v>157</v>
      </c>
    </row>
    <row r="239" spans="1:28">
      <c r="A239" s="8">
        <v>238</v>
      </c>
      <c r="B239" s="8" t="s">
        <v>1126</v>
      </c>
      <c r="C239" s="8" t="s">
        <v>1115</v>
      </c>
      <c r="D239" s="8" t="str">
        <f>$H$236</f>
        <v>Equal Civil Liberties</v>
      </c>
      <c r="E239" s="8">
        <v>4</v>
      </c>
      <c r="F239" s="8" t="str">
        <f t="shared" si="19"/>
        <v>Sub-indicator</v>
      </c>
      <c r="G239" s="8">
        <v>1</v>
      </c>
      <c r="H239" s="8" t="s">
        <v>1127</v>
      </c>
      <c r="I239" s="8" t="s">
        <v>149</v>
      </c>
      <c r="J239" s="8" t="str">
        <f t="shared" si="20"/>
        <v>INCLUSION &amp; EQUALITY</v>
      </c>
      <c r="K239" s="8" t="str">
        <f t="shared" si="21"/>
        <v>PARTICIPATION, RIGHTS &amp; INCLUSION</v>
      </c>
      <c r="L239" s="8" t="s">
        <v>150</v>
      </c>
      <c r="M239" s="8" t="s">
        <v>151</v>
      </c>
      <c r="N239" s="8" t="s">
        <v>31</v>
      </c>
      <c r="O239" s="8" t="s">
        <v>31</v>
      </c>
      <c r="P239" s="8" t="s">
        <v>31</v>
      </c>
      <c r="Q239" s="9" t="s">
        <v>1128</v>
      </c>
      <c r="R239" s="8" t="s">
        <v>53</v>
      </c>
      <c r="S239" s="10">
        <v>45432</v>
      </c>
      <c r="T239" s="8" t="s">
        <v>1129</v>
      </c>
      <c r="U239" s="8" t="s">
        <v>229</v>
      </c>
      <c r="V239" s="8" t="s">
        <v>155</v>
      </c>
      <c r="W239" s="8" t="s">
        <v>156</v>
      </c>
      <c r="X239" s="8" t="s">
        <v>58</v>
      </c>
      <c r="Y239" s="8" t="s">
        <v>58</v>
      </c>
      <c r="Z239" s="8" t="s">
        <v>31</v>
      </c>
      <c r="AB239" s="8" t="s">
        <v>157</v>
      </c>
    </row>
    <row r="240" spans="1:28">
      <c r="A240" s="8">
        <v>239</v>
      </c>
      <c r="B240" s="8" t="s">
        <v>1130</v>
      </c>
      <c r="C240" s="8" t="s">
        <v>1115</v>
      </c>
      <c r="D240" s="8" t="s">
        <v>1116</v>
      </c>
      <c r="E240" s="8">
        <v>4</v>
      </c>
      <c r="F240" s="8" t="str">
        <f t="shared" si="19"/>
        <v>Sub-indicator</v>
      </c>
      <c r="G240" s="8">
        <v>1</v>
      </c>
      <c r="H240" s="8" t="s">
        <v>1131</v>
      </c>
      <c r="I240" s="8" t="s">
        <v>149</v>
      </c>
      <c r="J240" s="8" t="str">
        <f t="shared" si="20"/>
        <v>INCLUSION &amp; EQUALITY</v>
      </c>
      <c r="K240" s="8" t="str">
        <f t="shared" si="21"/>
        <v>PARTICIPATION, RIGHTS &amp; INCLUSION</v>
      </c>
      <c r="L240" s="8" t="s">
        <v>150</v>
      </c>
      <c r="M240" s="8" t="s">
        <v>151</v>
      </c>
      <c r="N240" s="8" t="s">
        <v>31</v>
      </c>
      <c r="O240" s="8" t="s">
        <v>31</v>
      </c>
      <c r="P240" s="8" t="s">
        <v>31</v>
      </c>
      <c r="Q240" s="9" t="s">
        <v>1132</v>
      </c>
      <c r="R240" s="8" t="s">
        <v>53</v>
      </c>
      <c r="S240" s="10">
        <v>45485</v>
      </c>
      <c r="T240" s="8" t="s">
        <v>1133</v>
      </c>
      <c r="U240" s="8" t="s">
        <v>229</v>
      </c>
      <c r="V240" s="8" t="s">
        <v>155</v>
      </c>
      <c r="W240" s="8" t="s">
        <v>156</v>
      </c>
      <c r="X240" s="8" t="s">
        <v>58</v>
      </c>
      <c r="Y240" s="8" t="s">
        <v>58</v>
      </c>
      <c r="Z240" s="8" t="s">
        <v>31</v>
      </c>
      <c r="AB240" s="8" t="s">
        <v>157</v>
      </c>
    </row>
    <row r="241" spans="1:28">
      <c r="A241" s="8">
        <v>240</v>
      </c>
      <c r="B241" s="8" t="s">
        <v>1134</v>
      </c>
      <c r="C241" s="8" t="s">
        <v>1115</v>
      </c>
      <c r="D241" s="8" t="str">
        <f>$H$236</f>
        <v>Equal Civil Liberties</v>
      </c>
      <c r="E241" s="8">
        <v>4</v>
      </c>
      <c r="F241" s="8" t="str">
        <f t="shared" si="19"/>
        <v>Sub-indicator</v>
      </c>
      <c r="G241" s="8">
        <v>1</v>
      </c>
      <c r="H241" s="8" t="s">
        <v>1135</v>
      </c>
      <c r="I241" s="8" t="s">
        <v>149</v>
      </c>
      <c r="J241" s="8" t="str">
        <f t="shared" si="20"/>
        <v>INCLUSION &amp; EQUALITY</v>
      </c>
      <c r="K241" s="8" t="str">
        <f t="shared" si="21"/>
        <v>PARTICIPATION, RIGHTS &amp; INCLUSION</v>
      </c>
      <c r="L241" s="8" t="s">
        <v>150</v>
      </c>
      <c r="M241" s="8" t="s">
        <v>151</v>
      </c>
      <c r="N241" s="8" t="s">
        <v>31</v>
      </c>
      <c r="O241" s="8" t="s">
        <v>31</v>
      </c>
      <c r="P241" s="8" t="s">
        <v>31</v>
      </c>
      <c r="Q241" s="9" t="s">
        <v>1136</v>
      </c>
      <c r="R241" s="8" t="s">
        <v>53</v>
      </c>
      <c r="S241" s="10">
        <v>45432</v>
      </c>
      <c r="T241" s="8" t="s">
        <v>1137</v>
      </c>
      <c r="U241" s="8" t="s">
        <v>871</v>
      </c>
      <c r="V241" s="8" t="s">
        <v>155</v>
      </c>
      <c r="W241" s="8" t="s">
        <v>156</v>
      </c>
      <c r="X241" s="8" t="s">
        <v>58</v>
      </c>
      <c r="Y241" s="8" t="s">
        <v>58</v>
      </c>
      <c r="Z241" s="8" t="s">
        <v>31</v>
      </c>
      <c r="AA241" s="8" t="s">
        <v>1138</v>
      </c>
      <c r="AB241" s="8" t="s">
        <v>157</v>
      </c>
    </row>
    <row r="242" spans="1:28">
      <c r="A242" s="8">
        <v>241</v>
      </c>
      <c r="B242" s="8" t="s">
        <v>1139</v>
      </c>
      <c r="C242" s="8" t="s">
        <v>1061</v>
      </c>
      <c r="D242" s="8" t="s">
        <v>1062</v>
      </c>
      <c r="E242" s="12">
        <v>3</v>
      </c>
      <c r="F242" s="12" t="str">
        <f t="shared" si="19"/>
        <v>Indicator</v>
      </c>
      <c r="G242" s="8">
        <v>0</v>
      </c>
      <c r="H242" s="12" t="s">
        <v>1140</v>
      </c>
      <c r="I242" s="8" t="s">
        <v>255</v>
      </c>
      <c r="J242" s="8" t="str">
        <f t="shared" si="20"/>
        <v>INCLUSION &amp; EQUALITY</v>
      </c>
      <c r="K242" s="8" t="str">
        <f t="shared" si="21"/>
        <v>PARTICIPATION, RIGHTS &amp; INCLUSION</v>
      </c>
      <c r="L242" s="8" t="s">
        <v>33</v>
      </c>
      <c r="M242" s="8" t="s">
        <v>31</v>
      </c>
      <c r="N242" s="8" t="s">
        <v>31</v>
      </c>
      <c r="O242" s="8" t="s">
        <v>31</v>
      </c>
      <c r="P242" s="8" t="s">
        <v>31</v>
      </c>
      <c r="Q242" s="9" t="s">
        <v>1141</v>
      </c>
      <c r="R242" s="8" t="s">
        <v>31</v>
      </c>
      <c r="S242" s="10" t="s">
        <v>31</v>
      </c>
      <c r="T242" s="8" t="s">
        <v>31</v>
      </c>
      <c r="U242" s="8" t="s">
        <v>31</v>
      </c>
      <c r="V242" s="8" t="s">
        <v>31</v>
      </c>
      <c r="W242" s="8" t="s">
        <v>31</v>
      </c>
      <c r="X242" s="8" t="s">
        <v>31</v>
      </c>
      <c r="Y242" s="8" t="s">
        <v>31</v>
      </c>
      <c r="Z242" s="8" t="s">
        <v>31</v>
      </c>
    </row>
    <row r="243" spans="1:28">
      <c r="A243" s="8">
        <v>242</v>
      </c>
      <c r="B243" s="8" t="s">
        <v>1142</v>
      </c>
      <c r="C243" s="8" t="s">
        <v>1139</v>
      </c>
      <c r="D243" s="8" t="s">
        <v>1140</v>
      </c>
      <c r="E243" s="8">
        <v>4</v>
      </c>
      <c r="F243" s="8" t="str">
        <f t="shared" si="19"/>
        <v>Sub-indicator</v>
      </c>
      <c r="G243" s="8">
        <v>1</v>
      </c>
      <c r="H243" s="8" t="s">
        <v>1143</v>
      </c>
      <c r="I243" s="8" t="s">
        <v>149</v>
      </c>
      <c r="J243" s="8" t="str">
        <f t="shared" si="20"/>
        <v>INCLUSION &amp; EQUALITY</v>
      </c>
      <c r="K243" s="8" t="str">
        <f t="shared" si="21"/>
        <v>PARTICIPATION, RIGHTS &amp; INCLUSION</v>
      </c>
      <c r="L243" s="8" t="s">
        <v>150</v>
      </c>
      <c r="M243" s="8" t="s">
        <v>151</v>
      </c>
      <c r="N243" s="8" t="s">
        <v>31</v>
      </c>
      <c r="O243" s="8" t="s">
        <v>31</v>
      </c>
      <c r="P243" s="8" t="s">
        <v>31</v>
      </c>
      <c r="Q243" s="9" t="s">
        <v>1144</v>
      </c>
      <c r="R243" s="8" t="s">
        <v>53</v>
      </c>
      <c r="S243" s="10">
        <v>45432</v>
      </c>
      <c r="T243" s="8" t="s">
        <v>1145</v>
      </c>
      <c r="U243" s="8" t="s">
        <v>154</v>
      </c>
      <c r="V243" s="8" t="s">
        <v>155</v>
      </c>
      <c r="W243" s="8" t="s">
        <v>156</v>
      </c>
      <c r="X243" s="8" t="s">
        <v>58</v>
      </c>
      <c r="Y243" s="8" t="s">
        <v>58</v>
      </c>
      <c r="Z243" s="8" t="s">
        <v>31</v>
      </c>
      <c r="AA243" s="8" t="s">
        <v>1146</v>
      </c>
    </row>
    <row r="244" spans="1:28">
      <c r="A244" s="8">
        <v>243</v>
      </c>
      <c r="B244" s="8" t="s">
        <v>1147</v>
      </c>
      <c r="C244" s="8" t="s">
        <v>1139</v>
      </c>
      <c r="D244" s="8" t="s">
        <v>1140</v>
      </c>
      <c r="E244" s="8">
        <v>4</v>
      </c>
      <c r="F244" s="8" t="str">
        <f t="shared" si="19"/>
        <v>Sub-indicator</v>
      </c>
      <c r="G244" s="8">
        <v>1</v>
      </c>
      <c r="H244" s="8" t="s">
        <v>1148</v>
      </c>
      <c r="I244" s="8" t="s">
        <v>149</v>
      </c>
      <c r="J244" s="8" t="str">
        <f t="shared" si="20"/>
        <v>INCLUSION &amp; EQUALITY</v>
      </c>
      <c r="K244" s="8" t="str">
        <f t="shared" si="21"/>
        <v>PARTICIPATION, RIGHTS &amp; INCLUSION</v>
      </c>
      <c r="L244" s="8" t="s">
        <v>150</v>
      </c>
      <c r="M244" s="8" t="s">
        <v>151</v>
      </c>
      <c r="N244" s="8" t="s">
        <v>31</v>
      </c>
      <c r="O244" s="8" t="s">
        <v>31</v>
      </c>
      <c r="P244" s="8" t="s">
        <v>31</v>
      </c>
      <c r="Q244" s="9" t="s">
        <v>1149</v>
      </c>
      <c r="R244" s="8" t="s">
        <v>53</v>
      </c>
      <c r="S244" s="10">
        <v>45432</v>
      </c>
      <c r="T244" s="8" t="s">
        <v>1150</v>
      </c>
      <c r="U244" s="8" t="s">
        <v>154</v>
      </c>
      <c r="V244" s="8" t="s">
        <v>155</v>
      </c>
      <c r="W244" s="8" t="s">
        <v>156</v>
      </c>
      <c r="X244" s="8" t="s">
        <v>58</v>
      </c>
      <c r="Y244" s="8" t="s">
        <v>58</v>
      </c>
      <c r="Z244" s="8" t="s">
        <v>31</v>
      </c>
      <c r="AA244" s="8" t="s">
        <v>1151</v>
      </c>
    </row>
    <row r="245" spans="1:28">
      <c r="A245" s="8">
        <v>244</v>
      </c>
      <c r="B245" s="8" t="s">
        <v>1152</v>
      </c>
      <c r="C245" s="8" t="s">
        <v>1139</v>
      </c>
      <c r="D245" s="8" t="s">
        <v>1140</v>
      </c>
      <c r="E245" s="8">
        <v>4</v>
      </c>
      <c r="F245" s="8" t="str">
        <f t="shared" si="19"/>
        <v>Sub-indicator</v>
      </c>
      <c r="G245" s="8">
        <v>1</v>
      </c>
      <c r="H245" s="8" t="s">
        <v>1153</v>
      </c>
      <c r="I245" s="8" t="s">
        <v>149</v>
      </c>
      <c r="J245" s="8" t="str">
        <f t="shared" si="20"/>
        <v>INCLUSION &amp; EQUALITY</v>
      </c>
      <c r="K245" s="8" t="str">
        <f t="shared" si="21"/>
        <v>PARTICIPATION, RIGHTS &amp; INCLUSION</v>
      </c>
      <c r="L245" s="8" t="s">
        <v>150</v>
      </c>
      <c r="M245" s="8" t="s">
        <v>151</v>
      </c>
      <c r="N245" s="8" t="s">
        <v>31</v>
      </c>
      <c r="O245" s="8" t="s">
        <v>31</v>
      </c>
      <c r="P245" s="8" t="s">
        <v>31</v>
      </c>
      <c r="Q245" s="9" t="s">
        <v>1154</v>
      </c>
      <c r="R245" s="8" t="s">
        <v>53</v>
      </c>
      <c r="S245" s="10">
        <v>45432</v>
      </c>
      <c r="T245" s="8" t="s">
        <v>1155</v>
      </c>
      <c r="U245" s="8" t="s">
        <v>154</v>
      </c>
      <c r="V245" s="8" t="s">
        <v>155</v>
      </c>
      <c r="W245" s="8" t="s">
        <v>156</v>
      </c>
      <c r="X245" s="8" t="s">
        <v>58</v>
      </c>
      <c r="Y245" s="8" t="s">
        <v>58</v>
      </c>
      <c r="Z245" s="8" t="s">
        <v>31</v>
      </c>
      <c r="AA245" s="8" t="s">
        <v>1156</v>
      </c>
      <c r="AB245" s="8" t="s">
        <v>1157</v>
      </c>
    </row>
    <row r="246" spans="1:28">
      <c r="A246" s="8">
        <v>245</v>
      </c>
      <c r="B246" s="8" t="s">
        <v>1158</v>
      </c>
      <c r="C246" s="8" t="s">
        <v>1139</v>
      </c>
      <c r="D246" s="8" t="s">
        <v>1140</v>
      </c>
      <c r="E246" s="8">
        <v>4</v>
      </c>
      <c r="F246" s="8" t="str">
        <f t="shared" si="19"/>
        <v>Sub-indicator</v>
      </c>
      <c r="G246" s="8">
        <v>1</v>
      </c>
      <c r="H246" s="8" t="s">
        <v>1159</v>
      </c>
      <c r="I246" s="8" t="s">
        <v>267</v>
      </c>
      <c r="J246" s="8" t="str">
        <f t="shared" si="20"/>
        <v>INCLUSION &amp; EQUALITY</v>
      </c>
      <c r="K246" s="8" t="str">
        <f t="shared" si="21"/>
        <v>PARTICIPATION, RIGHTS &amp; INCLUSION</v>
      </c>
      <c r="L246" s="8" t="s">
        <v>268</v>
      </c>
      <c r="M246" s="8" t="s">
        <v>269</v>
      </c>
      <c r="N246" s="8" t="s">
        <v>31</v>
      </c>
      <c r="O246" s="8" t="s">
        <v>31</v>
      </c>
      <c r="P246" s="8" t="s">
        <v>31</v>
      </c>
      <c r="Q246" s="9" t="s">
        <v>1160</v>
      </c>
      <c r="R246" s="8" t="s">
        <v>53</v>
      </c>
      <c r="S246" s="10">
        <v>45481</v>
      </c>
      <c r="T246" s="8" t="s">
        <v>1161</v>
      </c>
      <c r="U246" s="8" t="s">
        <v>196</v>
      </c>
      <c r="V246" s="8" t="s">
        <v>155</v>
      </c>
      <c r="W246" s="8" t="s">
        <v>272</v>
      </c>
      <c r="X246" s="8" t="s">
        <v>58</v>
      </c>
      <c r="Y246" s="8" t="s">
        <v>58</v>
      </c>
      <c r="Z246" s="8" t="s">
        <v>31</v>
      </c>
      <c r="AA246" s="8" t="s">
        <v>273</v>
      </c>
    </row>
    <row r="247" spans="1:28">
      <c r="A247" s="8">
        <v>246</v>
      </c>
      <c r="B247" s="8" t="s">
        <v>1162</v>
      </c>
      <c r="C247" s="8" t="s">
        <v>1061</v>
      </c>
      <c r="D247" s="8" t="s">
        <v>1062</v>
      </c>
      <c r="E247" s="12">
        <v>3</v>
      </c>
      <c r="F247" s="12" t="str">
        <f>IF(E247=0,"Overall",IF(E247=1,"Category",IF(E247=2,"Sub-category",IF(E247=3,"Indicator",IF(E247=4,"Sub-indicator", "Sub-sub-indicator")))))</f>
        <v>Indicator</v>
      </c>
      <c r="G247" s="8">
        <v>0</v>
      </c>
      <c r="H247" s="12" t="s">
        <v>1163</v>
      </c>
      <c r="I247" s="8" t="s">
        <v>149</v>
      </c>
      <c r="J247" s="8" t="str">
        <f t="shared" si="20"/>
        <v>INCLUSION &amp; EQUALITY</v>
      </c>
      <c r="K247" s="8" t="str">
        <f t="shared" si="21"/>
        <v>PARTICIPATION, RIGHTS &amp; INCLUSION</v>
      </c>
      <c r="L247" s="8" t="s">
        <v>33</v>
      </c>
      <c r="M247" s="8" t="s">
        <v>31</v>
      </c>
      <c r="N247" s="8" t="s">
        <v>31</v>
      </c>
      <c r="O247" s="8" t="s">
        <v>31</v>
      </c>
      <c r="P247" s="8" t="s">
        <v>31</v>
      </c>
      <c r="Q247" s="9" t="s">
        <v>1164</v>
      </c>
      <c r="R247" s="8" t="s">
        <v>31</v>
      </c>
      <c r="S247" s="10" t="s">
        <v>31</v>
      </c>
      <c r="T247" s="8" t="s">
        <v>31</v>
      </c>
      <c r="U247" s="8" t="s">
        <v>31</v>
      </c>
      <c r="V247" s="8" t="s">
        <v>31</v>
      </c>
      <c r="W247" s="8" t="s">
        <v>31</v>
      </c>
      <c r="X247" s="8" t="s">
        <v>31</v>
      </c>
      <c r="Y247" s="8" t="s">
        <v>31</v>
      </c>
      <c r="Z247" s="8" t="s">
        <v>31</v>
      </c>
    </row>
    <row r="248" spans="1:28">
      <c r="A248" s="8">
        <v>247</v>
      </c>
      <c r="B248" s="8" t="s">
        <v>1165</v>
      </c>
      <c r="C248" s="8" t="s">
        <v>1162</v>
      </c>
      <c r="D248" s="8" t="s">
        <v>1163</v>
      </c>
      <c r="E248" s="8">
        <v>4</v>
      </c>
      <c r="F248" s="8" t="str">
        <f t="shared" si="19"/>
        <v>Sub-indicator</v>
      </c>
      <c r="G248" s="8">
        <v>1</v>
      </c>
      <c r="H248" s="8" t="s">
        <v>1166</v>
      </c>
      <c r="I248" s="8" t="s">
        <v>149</v>
      </c>
      <c r="J248" s="8" t="s">
        <v>1062</v>
      </c>
      <c r="K248" s="8" t="s">
        <v>756</v>
      </c>
      <c r="L248" s="8" t="s">
        <v>150</v>
      </c>
      <c r="M248" s="8" t="s">
        <v>151</v>
      </c>
      <c r="N248" s="8" t="s">
        <v>31</v>
      </c>
      <c r="O248" s="8" t="s">
        <v>31</v>
      </c>
      <c r="P248" s="8" t="s">
        <v>31</v>
      </c>
      <c r="Q248" s="9" t="s">
        <v>1167</v>
      </c>
      <c r="R248" s="8" t="s">
        <v>53</v>
      </c>
      <c r="S248" s="10">
        <v>45432</v>
      </c>
      <c r="T248" s="8" t="s">
        <v>1168</v>
      </c>
      <c r="U248" s="8" t="s">
        <v>229</v>
      </c>
      <c r="V248" s="8" t="s">
        <v>155</v>
      </c>
      <c r="W248" s="8" t="s">
        <v>156</v>
      </c>
      <c r="X248" s="8" t="s">
        <v>58</v>
      </c>
      <c r="Y248" s="8" t="s">
        <v>58</v>
      </c>
      <c r="Z248" s="8" t="s">
        <v>31</v>
      </c>
      <c r="AB248" s="8" t="s">
        <v>157</v>
      </c>
    </row>
    <row r="249" spans="1:28">
      <c r="A249" s="8">
        <v>248</v>
      </c>
      <c r="B249" s="8" t="s">
        <v>1169</v>
      </c>
      <c r="C249" s="8" t="s">
        <v>1162</v>
      </c>
      <c r="D249" s="8" t="s">
        <v>1163</v>
      </c>
      <c r="E249" s="8">
        <v>4</v>
      </c>
      <c r="F249" s="8" t="str">
        <f t="shared" si="19"/>
        <v>Sub-indicator</v>
      </c>
      <c r="G249" s="8">
        <v>1</v>
      </c>
      <c r="H249" s="8" t="s">
        <v>1170</v>
      </c>
      <c r="I249" s="8" t="s">
        <v>149</v>
      </c>
      <c r="J249" s="8" t="s">
        <v>1062</v>
      </c>
      <c r="K249" s="8" t="s">
        <v>756</v>
      </c>
      <c r="L249" s="8" t="s">
        <v>150</v>
      </c>
      <c r="M249" s="8" t="s">
        <v>151</v>
      </c>
      <c r="N249" s="8" t="s">
        <v>31</v>
      </c>
      <c r="O249" s="8" t="s">
        <v>31</v>
      </c>
      <c r="P249" s="8" t="s">
        <v>31</v>
      </c>
      <c r="Q249" s="9" t="s">
        <v>1171</v>
      </c>
      <c r="R249" s="8" t="s">
        <v>53</v>
      </c>
      <c r="S249" s="10">
        <v>45432</v>
      </c>
      <c r="T249" s="8" t="s">
        <v>1172</v>
      </c>
      <c r="U249" s="8" t="s">
        <v>229</v>
      </c>
      <c r="V249" s="8" t="s">
        <v>155</v>
      </c>
      <c r="W249" s="8" t="s">
        <v>156</v>
      </c>
      <c r="X249" s="8" t="s">
        <v>58</v>
      </c>
      <c r="Y249" s="8" t="s">
        <v>58</v>
      </c>
      <c r="Z249" s="8" t="s">
        <v>31</v>
      </c>
      <c r="AB249" s="8" t="s">
        <v>157</v>
      </c>
    </row>
    <row r="250" spans="1:28">
      <c r="A250" s="8">
        <v>249</v>
      </c>
      <c r="B250" s="8" t="s">
        <v>1173</v>
      </c>
      <c r="C250" s="8" t="s">
        <v>1162</v>
      </c>
      <c r="D250" s="8" t="s">
        <v>1163</v>
      </c>
      <c r="E250" s="8">
        <v>4</v>
      </c>
      <c r="F250" s="8" t="s">
        <v>136</v>
      </c>
      <c r="G250" s="8">
        <v>1</v>
      </c>
      <c r="H250" s="8" t="s">
        <v>1174</v>
      </c>
      <c r="I250" s="8" t="s">
        <v>149</v>
      </c>
      <c r="J250" s="8" t="s">
        <v>1062</v>
      </c>
      <c r="K250" s="8" t="s">
        <v>756</v>
      </c>
      <c r="L250" s="8" t="s">
        <v>150</v>
      </c>
      <c r="M250" s="8" t="s">
        <v>151</v>
      </c>
      <c r="N250" s="8" t="s">
        <v>31</v>
      </c>
      <c r="O250" s="8" t="s">
        <v>31</v>
      </c>
      <c r="P250" s="8" t="s">
        <v>31</v>
      </c>
      <c r="Q250" s="9" t="s">
        <v>1175</v>
      </c>
      <c r="R250" s="8" t="s">
        <v>53</v>
      </c>
      <c r="S250" s="10">
        <v>45485</v>
      </c>
      <c r="T250" s="8" t="s">
        <v>1176</v>
      </c>
      <c r="U250" s="8" t="s">
        <v>229</v>
      </c>
      <c r="V250" s="8" t="s">
        <v>155</v>
      </c>
      <c r="W250" s="8" t="s">
        <v>156</v>
      </c>
      <c r="X250" s="8" t="s">
        <v>58</v>
      </c>
      <c r="Y250" s="8" t="s">
        <v>58</v>
      </c>
      <c r="Z250" s="8" t="s">
        <v>31</v>
      </c>
      <c r="AB250" s="8" t="s">
        <v>157</v>
      </c>
    </row>
    <row r="251" spans="1:28">
      <c r="A251" s="8">
        <v>250</v>
      </c>
      <c r="B251" s="8" t="s">
        <v>1177</v>
      </c>
      <c r="C251" s="8" t="s">
        <v>1162</v>
      </c>
      <c r="D251" s="8" t="s">
        <v>1163</v>
      </c>
      <c r="E251" s="8">
        <v>4</v>
      </c>
      <c r="F251" s="8" t="str">
        <f t="shared" si="19"/>
        <v>Sub-indicator</v>
      </c>
      <c r="G251" s="8">
        <v>1</v>
      </c>
      <c r="H251" s="8" t="s">
        <v>1178</v>
      </c>
      <c r="I251" s="8" t="s">
        <v>149</v>
      </c>
      <c r="J251" s="8" t="s">
        <v>1062</v>
      </c>
      <c r="K251" s="8" t="s">
        <v>756</v>
      </c>
      <c r="L251" s="8" t="s">
        <v>150</v>
      </c>
      <c r="M251" s="8" t="s">
        <v>151</v>
      </c>
      <c r="N251" s="8" t="s">
        <v>31</v>
      </c>
      <c r="O251" s="8" t="s">
        <v>31</v>
      </c>
      <c r="P251" s="8" t="s">
        <v>31</v>
      </c>
      <c r="Q251" s="9" t="s">
        <v>1179</v>
      </c>
      <c r="R251" s="8" t="s">
        <v>53</v>
      </c>
      <c r="S251" s="10">
        <v>45432</v>
      </c>
      <c r="T251" s="8" t="s">
        <v>1180</v>
      </c>
      <c r="U251" s="8" t="s">
        <v>871</v>
      </c>
      <c r="V251" s="8" t="s">
        <v>155</v>
      </c>
      <c r="W251" s="8" t="s">
        <v>156</v>
      </c>
      <c r="X251" s="8" t="s">
        <v>58</v>
      </c>
      <c r="Y251" s="8" t="s">
        <v>58</v>
      </c>
      <c r="Z251" s="8" t="s">
        <v>31</v>
      </c>
      <c r="AA251" s="8" t="s">
        <v>1181</v>
      </c>
      <c r="AB251" s="8" t="s">
        <v>157</v>
      </c>
    </row>
    <row r="252" spans="1:28">
      <c r="A252" s="8">
        <v>251</v>
      </c>
      <c r="B252" s="8" t="s">
        <v>1182</v>
      </c>
      <c r="C252" s="8" t="s">
        <v>1061</v>
      </c>
      <c r="D252" s="8" t="s">
        <v>1062</v>
      </c>
      <c r="E252" s="12">
        <v>3</v>
      </c>
      <c r="F252" s="12" t="str">
        <f t="shared" si="19"/>
        <v>Indicator</v>
      </c>
      <c r="G252" s="8">
        <v>0</v>
      </c>
      <c r="H252" s="12" t="s">
        <v>1183</v>
      </c>
      <c r="I252" s="8" t="s">
        <v>188</v>
      </c>
      <c r="J252" s="8" t="s">
        <v>1062</v>
      </c>
      <c r="K252" s="8" t="s">
        <v>756</v>
      </c>
      <c r="L252" s="8" t="s">
        <v>33</v>
      </c>
      <c r="M252" s="8" t="s">
        <v>31</v>
      </c>
      <c r="N252" s="8" t="s">
        <v>31</v>
      </c>
      <c r="O252" s="8" t="s">
        <v>31</v>
      </c>
      <c r="P252" s="8" t="s">
        <v>31</v>
      </c>
      <c r="Q252" s="9" t="s">
        <v>1184</v>
      </c>
      <c r="R252" s="8" t="s">
        <v>31</v>
      </c>
      <c r="S252" s="10" t="s">
        <v>31</v>
      </c>
      <c r="T252" s="8" t="s">
        <v>31</v>
      </c>
      <c r="U252" s="8" t="s">
        <v>31</v>
      </c>
      <c r="V252" s="8" t="s">
        <v>31</v>
      </c>
      <c r="W252" s="8" t="s">
        <v>31</v>
      </c>
      <c r="X252" s="8" t="s">
        <v>31</v>
      </c>
      <c r="Y252" s="8" t="s">
        <v>31</v>
      </c>
      <c r="Z252" s="8" t="s">
        <v>31</v>
      </c>
    </row>
    <row r="253" spans="1:28">
      <c r="A253" s="8">
        <v>252</v>
      </c>
      <c r="B253" s="8" t="s">
        <v>1185</v>
      </c>
      <c r="C253" s="8" t="s">
        <v>1182</v>
      </c>
      <c r="D253" s="8" t="s">
        <v>1183</v>
      </c>
      <c r="E253" s="8">
        <v>4</v>
      </c>
      <c r="F253" s="8" t="str">
        <f t="shared" si="19"/>
        <v>Sub-indicator</v>
      </c>
      <c r="G253" s="8">
        <v>1</v>
      </c>
      <c r="H253" s="8" t="s">
        <v>1186</v>
      </c>
      <c r="I253" s="8" t="s">
        <v>188</v>
      </c>
      <c r="J253" s="8" t="s">
        <v>1062</v>
      </c>
      <c r="K253" s="8" t="s">
        <v>756</v>
      </c>
      <c r="L253" s="8" t="s">
        <v>192</v>
      </c>
      <c r="M253" s="8" t="s">
        <v>193</v>
      </c>
      <c r="N253" s="8" t="s">
        <v>31</v>
      </c>
      <c r="O253" s="8" t="s">
        <v>31</v>
      </c>
      <c r="P253" s="8" t="s">
        <v>31</v>
      </c>
      <c r="Q253" s="9" t="s">
        <v>1187</v>
      </c>
      <c r="R253" s="8" t="s">
        <v>53</v>
      </c>
      <c r="S253" s="10">
        <v>45498</v>
      </c>
      <c r="T253" s="8" t="s">
        <v>1188</v>
      </c>
      <c r="U253" s="8" t="s">
        <v>196</v>
      </c>
      <c r="V253" s="8" t="s">
        <v>197</v>
      </c>
      <c r="W253" s="8" t="s">
        <v>198</v>
      </c>
      <c r="X253" s="8" t="s">
        <v>1189</v>
      </c>
      <c r="Y253" s="8" t="s">
        <v>1190</v>
      </c>
      <c r="Z253" s="8" t="s">
        <v>31</v>
      </c>
      <c r="AA253" s="8" t="s">
        <v>201</v>
      </c>
      <c r="AB253" s="8" t="s">
        <v>202</v>
      </c>
    </row>
    <row r="254" spans="1:28">
      <c r="A254" s="8">
        <v>253</v>
      </c>
      <c r="B254" s="8" t="s">
        <v>1191</v>
      </c>
      <c r="C254" s="8" t="s">
        <v>1182</v>
      </c>
      <c r="D254" s="8" t="s">
        <v>1183</v>
      </c>
      <c r="E254" s="8">
        <v>4</v>
      </c>
      <c r="F254" s="8" t="str">
        <f t="shared" si="19"/>
        <v>Sub-indicator</v>
      </c>
      <c r="G254" s="8">
        <v>0</v>
      </c>
      <c r="H254" s="8" t="s">
        <v>1192</v>
      </c>
      <c r="I254" s="8" t="s">
        <v>188</v>
      </c>
      <c r="J254" s="8" t="s">
        <v>1062</v>
      </c>
      <c r="K254" s="8" t="s">
        <v>756</v>
      </c>
      <c r="L254" s="8" t="s">
        <v>33</v>
      </c>
      <c r="M254" s="8" t="s">
        <v>31</v>
      </c>
      <c r="N254" s="8" t="s">
        <v>31</v>
      </c>
      <c r="O254" s="8" t="s">
        <v>31</v>
      </c>
      <c r="P254" s="8" t="s">
        <v>31</v>
      </c>
      <c r="Q254" s="9" t="s">
        <v>1193</v>
      </c>
      <c r="R254" s="8" t="s">
        <v>31</v>
      </c>
      <c r="S254" s="10" t="s">
        <v>31</v>
      </c>
      <c r="T254" s="8" t="s">
        <v>31</v>
      </c>
      <c r="U254" s="8" t="s">
        <v>31</v>
      </c>
      <c r="V254" s="8" t="s">
        <v>31</v>
      </c>
      <c r="W254" s="8" t="s">
        <v>31</v>
      </c>
      <c r="X254" s="8" t="s">
        <v>31</v>
      </c>
      <c r="Y254" s="8" t="s">
        <v>31</v>
      </c>
      <c r="Z254" s="8" t="s">
        <v>31</v>
      </c>
    </row>
    <row r="255" spans="1:28">
      <c r="A255" s="8">
        <v>254</v>
      </c>
      <c r="B255" s="8" t="s">
        <v>1194</v>
      </c>
      <c r="C255" s="8" t="s">
        <v>1191</v>
      </c>
      <c r="D255" s="8" t="s">
        <v>1192</v>
      </c>
      <c r="E255" s="8">
        <v>5</v>
      </c>
      <c r="F255" s="8" t="str">
        <f t="shared" si="19"/>
        <v>Sub-sub-indicator</v>
      </c>
      <c r="G255" s="8">
        <v>1</v>
      </c>
      <c r="H255" s="8" t="s">
        <v>1195</v>
      </c>
      <c r="I255" s="8" t="s">
        <v>188</v>
      </c>
      <c r="J255" s="8" t="s">
        <v>1062</v>
      </c>
      <c r="K255" s="8" t="s">
        <v>756</v>
      </c>
      <c r="L255" s="8" t="s">
        <v>192</v>
      </c>
      <c r="M255" s="8" t="s">
        <v>193</v>
      </c>
      <c r="N255" s="8" t="s">
        <v>31</v>
      </c>
      <c r="O255" s="8" t="s">
        <v>31</v>
      </c>
      <c r="P255" s="8" t="s">
        <v>31</v>
      </c>
      <c r="Q255" s="9" t="s">
        <v>1196</v>
      </c>
      <c r="R255" s="8" t="s">
        <v>53</v>
      </c>
      <c r="S255" s="10">
        <v>45498</v>
      </c>
      <c r="T255" s="8" t="s">
        <v>1197</v>
      </c>
      <c r="U255" s="8" t="s">
        <v>196</v>
      </c>
      <c r="V255" s="8" t="s">
        <v>1198</v>
      </c>
      <c r="W255" s="8" t="s">
        <v>198</v>
      </c>
      <c r="X255" s="8" t="s">
        <v>1199</v>
      </c>
      <c r="Y255" s="8" t="s">
        <v>1190</v>
      </c>
      <c r="Z255" s="8" t="s">
        <v>31</v>
      </c>
      <c r="AA255" s="8" t="s">
        <v>1200</v>
      </c>
      <c r="AB255" s="8" t="s">
        <v>202</v>
      </c>
    </row>
    <row r="256" spans="1:28">
      <c r="A256" s="8">
        <v>255</v>
      </c>
      <c r="B256" s="8" t="s">
        <v>1201</v>
      </c>
      <c r="C256" s="8" t="s">
        <v>1191</v>
      </c>
      <c r="D256" s="8" t="s">
        <v>1192</v>
      </c>
      <c r="E256" s="8">
        <v>5</v>
      </c>
      <c r="F256" s="8" t="str">
        <f t="shared" si="19"/>
        <v>Sub-sub-indicator</v>
      </c>
      <c r="G256" s="8">
        <v>1</v>
      </c>
      <c r="H256" s="8" t="s">
        <v>1202</v>
      </c>
      <c r="I256" s="8" t="s">
        <v>188</v>
      </c>
      <c r="J256" s="8" t="s">
        <v>1062</v>
      </c>
      <c r="K256" s="8" t="s">
        <v>756</v>
      </c>
      <c r="L256" s="8" t="s">
        <v>192</v>
      </c>
      <c r="M256" s="8" t="s">
        <v>193</v>
      </c>
      <c r="N256" s="8" t="s">
        <v>31</v>
      </c>
      <c r="O256" s="8" t="s">
        <v>31</v>
      </c>
      <c r="P256" s="8" t="s">
        <v>31</v>
      </c>
      <c r="Q256" s="9" t="s">
        <v>1203</v>
      </c>
      <c r="R256" s="8" t="s">
        <v>53</v>
      </c>
      <c r="S256" s="10">
        <v>45498</v>
      </c>
      <c r="T256" s="8" t="s">
        <v>1204</v>
      </c>
      <c r="U256" s="8" t="s">
        <v>196</v>
      </c>
      <c r="V256" s="8" t="s">
        <v>1198</v>
      </c>
      <c r="W256" s="8" t="s">
        <v>198</v>
      </c>
      <c r="X256" s="8" t="s">
        <v>748</v>
      </c>
      <c r="Y256" s="8" t="s">
        <v>749</v>
      </c>
      <c r="Z256" s="8" t="s">
        <v>31</v>
      </c>
      <c r="AA256" s="8" t="s">
        <v>1200</v>
      </c>
      <c r="AB256" s="8" t="s">
        <v>202</v>
      </c>
    </row>
    <row r="257" spans="1:28">
      <c r="A257" s="8">
        <v>256</v>
      </c>
      <c r="B257" s="8" t="s">
        <v>1205</v>
      </c>
      <c r="C257" s="8" t="s">
        <v>1191</v>
      </c>
      <c r="D257" s="8" t="s">
        <v>1192</v>
      </c>
      <c r="E257" s="8">
        <v>5</v>
      </c>
      <c r="F257" s="8" t="str">
        <f t="shared" si="19"/>
        <v>Sub-sub-indicator</v>
      </c>
      <c r="G257" s="8">
        <v>1</v>
      </c>
      <c r="H257" s="8" t="s">
        <v>1206</v>
      </c>
      <c r="I257" s="8" t="s">
        <v>188</v>
      </c>
      <c r="J257" s="8" t="s">
        <v>1062</v>
      </c>
      <c r="K257" s="8" t="s">
        <v>756</v>
      </c>
      <c r="L257" s="8" t="s">
        <v>192</v>
      </c>
      <c r="M257" s="8" t="s">
        <v>193</v>
      </c>
      <c r="N257" s="8" t="s">
        <v>31</v>
      </c>
      <c r="O257" s="8" t="s">
        <v>31</v>
      </c>
      <c r="P257" s="8" t="s">
        <v>31</v>
      </c>
      <c r="Q257" s="9" t="s">
        <v>1207</v>
      </c>
      <c r="R257" s="8" t="s">
        <v>53</v>
      </c>
      <c r="S257" s="10">
        <v>45497</v>
      </c>
      <c r="T257" s="8" t="s">
        <v>1208</v>
      </c>
      <c r="U257" s="8" t="s">
        <v>196</v>
      </c>
      <c r="V257" s="8" t="s">
        <v>1198</v>
      </c>
      <c r="W257" s="8" t="s">
        <v>198</v>
      </c>
      <c r="X257" s="8" t="s">
        <v>1209</v>
      </c>
      <c r="Y257" s="8" t="s">
        <v>749</v>
      </c>
      <c r="Z257" s="8" t="s">
        <v>31</v>
      </c>
      <c r="AA257" s="8" t="s">
        <v>1200</v>
      </c>
      <c r="AB257" s="8" t="s">
        <v>202</v>
      </c>
    </row>
    <row r="258" spans="1:28" s="6" customFormat="1">
      <c r="A258" s="6">
        <v>257</v>
      </c>
      <c r="B258" s="6" t="s">
        <v>1210</v>
      </c>
      <c r="C258" s="6" t="s">
        <v>755</v>
      </c>
      <c r="D258" s="6" t="s">
        <v>756</v>
      </c>
      <c r="E258" s="6">
        <v>2</v>
      </c>
      <c r="F258" s="6" t="str">
        <f t="shared" si="19"/>
        <v>Sub-category</v>
      </c>
      <c r="G258" s="6">
        <v>0</v>
      </c>
      <c r="H258" s="6" t="s">
        <v>1211</v>
      </c>
      <c r="I258" s="7" t="s">
        <v>31</v>
      </c>
      <c r="J258" s="6" t="s">
        <v>31</v>
      </c>
      <c r="K258" s="6" t="str">
        <f>H152</f>
        <v>PARTICIPATION, RIGHTS &amp; INCLUSION</v>
      </c>
      <c r="L258" s="6" t="s">
        <v>33</v>
      </c>
      <c r="M258" s="6" t="s">
        <v>31</v>
      </c>
      <c r="N258" s="6" t="s">
        <v>31</v>
      </c>
      <c r="O258" s="6" t="s">
        <v>31</v>
      </c>
      <c r="P258" s="6" t="s">
        <v>31</v>
      </c>
      <c r="Q258" s="6" t="s">
        <v>1212</v>
      </c>
      <c r="R258" s="6" t="s">
        <v>31</v>
      </c>
      <c r="S258" s="6" t="s">
        <v>31</v>
      </c>
      <c r="T258" s="6" t="s">
        <v>31</v>
      </c>
      <c r="U258" s="6" t="s">
        <v>31</v>
      </c>
      <c r="V258" s="6" t="s">
        <v>31</v>
      </c>
      <c r="W258" s="6" t="s">
        <v>31</v>
      </c>
      <c r="X258" s="6" t="s">
        <v>31</v>
      </c>
      <c r="Y258" s="6" t="s">
        <v>31</v>
      </c>
      <c r="Z258" s="6" t="s">
        <v>31</v>
      </c>
    </row>
    <row r="259" spans="1:28">
      <c r="A259" s="8">
        <v>258</v>
      </c>
      <c r="B259" s="8" t="s">
        <v>1213</v>
      </c>
      <c r="C259" s="8" t="s">
        <v>1210</v>
      </c>
      <c r="D259" s="8" t="s">
        <v>1211</v>
      </c>
      <c r="E259" s="12">
        <v>3</v>
      </c>
      <c r="F259" s="12" t="str">
        <f t="shared" si="19"/>
        <v>Indicator</v>
      </c>
      <c r="G259" s="8">
        <v>0</v>
      </c>
      <c r="H259" s="12" t="s">
        <v>1214</v>
      </c>
      <c r="I259" s="8" t="s">
        <v>1215</v>
      </c>
      <c r="J259" s="8" t="str">
        <f>H258</f>
        <v>WOMEN'S EQUALITY</v>
      </c>
      <c r="K259" s="8" t="str">
        <f t="shared" ref="K259:K266" si="22">$H$152</f>
        <v>PARTICIPATION, RIGHTS &amp; INCLUSION</v>
      </c>
      <c r="L259" s="8" t="s">
        <v>33</v>
      </c>
      <c r="M259" s="8" t="s">
        <v>31</v>
      </c>
      <c r="N259" s="8" t="s">
        <v>31</v>
      </c>
      <c r="O259" s="8" t="s">
        <v>31</v>
      </c>
      <c r="P259" s="8" t="s">
        <v>31</v>
      </c>
      <c r="Q259" s="9" t="s">
        <v>1216</v>
      </c>
      <c r="R259" s="8" t="s">
        <v>31</v>
      </c>
      <c r="S259" s="10" t="s">
        <v>31</v>
      </c>
      <c r="T259" s="8" t="s">
        <v>31</v>
      </c>
      <c r="U259" s="8" t="s">
        <v>31</v>
      </c>
      <c r="V259" s="8" t="s">
        <v>31</v>
      </c>
      <c r="W259" s="8" t="s">
        <v>31</v>
      </c>
      <c r="X259" s="8" t="s">
        <v>31</v>
      </c>
      <c r="Y259" s="8" t="s">
        <v>31</v>
      </c>
      <c r="Z259" s="8" t="s">
        <v>31</v>
      </c>
    </row>
    <row r="260" spans="1:28">
      <c r="A260" s="8">
        <v>259</v>
      </c>
      <c r="B260" s="8" t="s">
        <v>1217</v>
      </c>
      <c r="C260" s="8" t="s">
        <v>1213</v>
      </c>
      <c r="D260" s="8" t="s">
        <v>1214</v>
      </c>
      <c r="E260" s="8">
        <v>4</v>
      </c>
      <c r="F260" s="8" t="str">
        <f t="shared" si="19"/>
        <v>Sub-indicator</v>
      </c>
      <c r="G260" s="8">
        <v>1</v>
      </c>
      <c r="H260" s="8" t="s">
        <v>1218</v>
      </c>
      <c r="I260" s="8" t="s">
        <v>149</v>
      </c>
      <c r="J260" s="8" t="str">
        <f t="shared" ref="J260:J273" si="23">$H$258</f>
        <v>WOMEN'S EQUALITY</v>
      </c>
      <c r="K260" s="8" t="str">
        <f t="shared" si="22"/>
        <v>PARTICIPATION, RIGHTS &amp; INCLUSION</v>
      </c>
      <c r="L260" s="8" t="s">
        <v>150</v>
      </c>
      <c r="M260" s="8" t="s">
        <v>151</v>
      </c>
      <c r="N260" s="8" t="s">
        <v>31</v>
      </c>
      <c r="O260" s="8" t="s">
        <v>31</v>
      </c>
      <c r="P260" s="8" t="s">
        <v>31</v>
      </c>
      <c r="Q260" s="9" t="s">
        <v>1219</v>
      </c>
      <c r="R260" s="8" t="s">
        <v>53</v>
      </c>
      <c r="S260" s="10">
        <v>45432</v>
      </c>
      <c r="T260" s="8" t="s">
        <v>1220</v>
      </c>
      <c r="U260" s="8" t="s">
        <v>229</v>
      </c>
      <c r="V260" s="8" t="s">
        <v>155</v>
      </c>
      <c r="W260" s="8" t="s">
        <v>156</v>
      </c>
      <c r="X260" s="8" t="s">
        <v>58</v>
      </c>
      <c r="Y260" s="8" t="s">
        <v>58</v>
      </c>
      <c r="Z260" s="8" t="s">
        <v>31</v>
      </c>
      <c r="AB260" s="8" t="s">
        <v>157</v>
      </c>
    </row>
    <row r="261" spans="1:28">
      <c r="A261" s="8">
        <v>260</v>
      </c>
      <c r="B261" s="8" t="s">
        <v>1221</v>
      </c>
      <c r="C261" s="8" t="s">
        <v>1213</v>
      </c>
      <c r="D261" s="8" t="s">
        <v>1214</v>
      </c>
      <c r="E261" s="8">
        <v>4</v>
      </c>
      <c r="F261" s="8" t="str">
        <f t="shared" si="19"/>
        <v>Sub-indicator</v>
      </c>
      <c r="G261" s="8">
        <v>1</v>
      </c>
      <c r="H261" s="8" t="s">
        <v>1222</v>
      </c>
      <c r="I261" s="8" t="s">
        <v>1104</v>
      </c>
      <c r="J261" s="8" t="str">
        <f t="shared" si="23"/>
        <v>WOMEN'S EQUALITY</v>
      </c>
      <c r="K261" s="8" t="str">
        <f t="shared" si="22"/>
        <v>PARTICIPATION, RIGHTS &amp; INCLUSION</v>
      </c>
      <c r="L261" s="8" t="s">
        <v>1105</v>
      </c>
      <c r="M261" s="8" t="s">
        <v>1223</v>
      </c>
      <c r="N261" s="8" t="s">
        <v>31</v>
      </c>
      <c r="O261" s="8" t="s">
        <v>31</v>
      </c>
      <c r="P261" s="8" t="s">
        <v>31</v>
      </c>
      <c r="Q261" s="9" t="s">
        <v>1224</v>
      </c>
      <c r="R261" s="8" t="s">
        <v>1225</v>
      </c>
      <c r="S261" s="10">
        <v>45483</v>
      </c>
      <c r="T261" s="8" t="s">
        <v>1226</v>
      </c>
      <c r="U261" s="8" t="s">
        <v>196</v>
      </c>
      <c r="V261" s="8" t="s">
        <v>155</v>
      </c>
      <c r="W261" s="8" t="s">
        <v>1227</v>
      </c>
      <c r="X261" s="8" t="s">
        <v>58</v>
      </c>
      <c r="Y261" s="8" t="s">
        <v>58</v>
      </c>
      <c r="Z261" s="8" t="s">
        <v>31</v>
      </c>
      <c r="AA261" s="8" t="s">
        <v>1228</v>
      </c>
    </row>
    <row r="262" spans="1:28">
      <c r="A262" s="8">
        <v>261</v>
      </c>
      <c r="B262" s="8" t="s">
        <v>1229</v>
      </c>
      <c r="C262" s="8" t="s">
        <v>1213</v>
      </c>
      <c r="D262" s="8" t="s">
        <v>1214</v>
      </c>
      <c r="E262" s="8">
        <v>4</v>
      </c>
      <c r="F262" s="8" t="str">
        <f t="shared" si="19"/>
        <v>Sub-indicator</v>
      </c>
      <c r="G262" s="8">
        <v>1</v>
      </c>
      <c r="H262" s="8" t="s">
        <v>1230</v>
      </c>
      <c r="I262" s="8" t="s">
        <v>1104</v>
      </c>
      <c r="J262" s="8" t="str">
        <f t="shared" si="23"/>
        <v>WOMEN'S EQUALITY</v>
      </c>
      <c r="K262" s="8" t="str">
        <f t="shared" si="22"/>
        <v>PARTICIPATION, RIGHTS &amp; INCLUSION</v>
      </c>
      <c r="L262" s="8" t="s">
        <v>1105</v>
      </c>
      <c r="M262" s="8" t="s">
        <v>1106</v>
      </c>
      <c r="N262" s="8" t="s">
        <v>31</v>
      </c>
      <c r="O262" s="8" t="s">
        <v>31</v>
      </c>
      <c r="P262" s="8" t="s">
        <v>31</v>
      </c>
      <c r="Q262" s="9" t="s">
        <v>1231</v>
      </c>
      <c r="R262" s="8" t="s">
        <v>53</v>
      </c>
      <c r="S262" s="10">
        <v>45483</v>
      </c>
      <c r="T262" s="8" t="s">
        <v>1232</v>
      </c>
      <c r="U262" s="8" t="s">
        <v>196</v>
      </c>
      <c r="V262" s="8" t="s">
        <v>155</v>
      </c>
      <c r="W262" s="8" t="s">
        <v>1233</v>
      </c>
      <c r="X262" s="8" t="s">
        <v>58</v>
      </c>
      <c r="Y262" s="8" t="s">
        <v>58</v>
      </c>
      <c r="Z262" s="8" t="s">
        <v>31</v>
      </c>
      <c r="AA262" s="8" t="s">
        <v>1234</v>
      </c>
    </row>
    <row r="263" spans="1:28">
      <c r="A263" s="8">
        <v>262</v>
      </c>
      <c r="B263" s="8" t="s">
        <v>1235</v>
      </c>
      <c r="C263" s="8" t="s">
        <v>1213</v>
      </c>
      <c r="D263" s="8" t="s">
        <v>1214</v>
      </c>
      <c r="E263" s="8">
        <v>4</v>
      </c>
      <c r="F263" s="8" t="str">
        <f t="shared" si="19"/>
        <v>Sub-indicator</v>
      </c>
      <c r="G263" s="8">
        <v>1</v>
      </c>
      <c r="H263" s="8" t="s">
        <v>1236</v>
      </c>
      <c r="I263" s="8" t="s">
        <v>267</v>
      </c>
      <c r="J263" s="8" t="str">
        <f t="shared" si="23"/>
        <v>WOMEN'S EQUALITY</v>
      </c>
      <c r="K263" s="8" t="str">
        <f t="shared" si="22"/>
        <v>PARTICIPATION, RIGHTS &amp; INCLUSION</v>
      </c>
      <c r="L263" s="8" t="s">
        <v>268</v>
      </c>
      <c r="M263" s="8" t="s">
        <v>269</v>
      </c>
      <c r="N263" s="8" t="s">
        <v>31</v>
      </c>
      <c r="O263" s="8" t="s">
        <v>31</v>
      </c>
      <c r="P263" s="8" t="s">
        <v>31</v>
      </c>
      <c r="Q263" s="9" t="s">
        <v>1237</v>
      </c>
      <c r="R263" s="8" t="s">
        <v>53</v>
      </c>
      <c r="S263" s="10">
        <v>45481</v>
      </c>
      <c r="T263" s="8" t="s">
        <v>1238</v>
      </c>
      <c r="U263" s="8" t="s">
        <v>196</v>
      </c>
      <c r="V263" s="8" t="s">
        <v>155</v>
      </c>
      <c r="W263" s="8" t="s">
        <v>272</v>
      </c>
      <c r="X263" s="8" t="s">
        <v>58</v>
      </c>
      <c r="Y263" s="8" t="s">
        <v>58</v>
      </c>
      <c r="Z263" s="8" t="s">
        <v>31</v>
      </c>
      <c r="AA263" s="8" t="s">
        <v>273</v>
      </c>
    </row>
    <row r="264" spans="1:28">
      <c r="A264" s="8">
        <v>263</v>
      </c>
      <c r="B264" s="8" t="s">
        <v>1239</v>
      </c>
      <c r="C264" s="8" t="s">
        <v>1210</v>
      </c>
      <c r="D264" s="8" t="s">
        <v>1211</v>
      </c>
      <c r="E264" s="12">
        <v>3</v>
      </c>
      <c r="F264" s="12" t="str">
        <f t="shared" si="19"/>
        <v>Indicator</v>
      </c>
      <c r="G264" s="8">
        <v>0</v>
      </c>
      <c r="H264" s="12" t="s">
        <v>1240</v>
      </c>
      <c r="I264" s="8" t="s">
        <v>1241</v>
      </c>
      <c r="J264" s="8" t="str">
        <f t="shared" si="23"/>
        <v>WOMEN'S EQUALITY</v>
      </c>
      <c r="K264" s="8" t="str">
        <f t="shared" si="22"/>
        <v>PARTICIPATION, RIGHTS &amp; INCLUSION</v>
      </c>
      <c r="L264" s="8" t="s">
        <v>33</v>
      </c>
      <c r="M264" s="8" t="s">
        <v>31</v>
      </c>
      <c r="N264" s="8" t="s">
        <v>31</v>
      </c>
      <c r="O264" s="8" t="s">
        <v>31</v>
      </c>
      <c r="P264" s="8" t="s">
        <v>31</v>
      </c>
      <c r="Q264" s="9" t="s">
        <v>1242</v>
      </c>
      <c r="R264" s="8" t="s">
        <v>31</v>
      </c>
      <c r="S264" s="10" t="s">
        <v>31</v>
      </c>
      <c r="T264" s="8" t="s">
        <v>31</v>
      </c>
      <c r="U264" s="8" t="s">
        <v>31</v>
      </c>
      <c r="V264" s="8" t="s">
        <v>31</v>
      </c>
      <c r="W264" s="8" t="s">
        <v>31</v>
      </c>
      <c r="X264" s="8" t="s">
        <v>31</v>
      </c>
      <c r="Y264" s="8" t="s">
        <v>31</v>
      </c>
      <c r="Z264" s="8" t="s">
        <v>31</v>
      </c>
    </row>
    <row r="265" spans="1:28">
      <c r="A265" s="8">
        <v>264</v>
      </c>
      <c r="B265" s="8" t="s">
        <v>1243</v>
      </c>
      <c r="C265" s="8" t="s">
        <v>1239</v>
      </c>
      <c r="D265" s="8" t="s">
        <v>1244</v>
      </c>
      <c r="E265" s="21">
        <v>4</v>
      </c>
      <c r="F265" s="8" t="str">
        <f t="shared" si="19"/>
        <v>Sub-indicator</v>
      </c>
      <c r="G265" s="8">
        <v>1</v>
      </c>
      <c r="H265" s="8" t="s">
        <v>1245</v>
      </c>
      <c r="I265" s="8" t="s">
        <v>149</v>
      </c>
      <c r="J265" s="8" t="str">
        <f t="shared" si="23"/>
        <v>WOMEN'S EQUALITY</v>
      </c>
      <c r="K265" s="8" t="str">
        <f t="shared" si="22"/>
        <v>PARTICIPATION, RIGHTS &amp; INCLUSION</v>
      </c>
      <c r="L265" s="8" t="s">
        <v>150</v>
      </c>
      <c r="M265" s="8" t="s">
        <v>151</v>
      </c>
      <c r="N265" s="8" t="s">
        <v>31</v>
      </c>
      <c r="O265" s="8" t="s">
        <v>31</v>
      </c>
      <c r="P265" s="8" t="s">
        <v>31</v>
      </c>
      <c r="Q265" s="9" t="s">
        <v>1246</v>
      </c>
      <c r="R265" s="8" t="s">
        <v>53</v>
      </c>
      <c r="S265" s="10">
        <v>45432</v>
      </c>
      <c r="T265" s="8" t="s">
        <v>1247</v>
      </c>
      <c r="U265" s="8" t="s">
        <v>229</v>
      </c>
      <c r="V265" s="8" t="s">
        <v>155</v>
      </c>
      <c r="W265" s="8" t="s">
        <v>156</v>
      </c>
      <c r="X265" s="8" t="s">
        <v>58</v>
      </c>
      <c r="Y265" s="8" t="s">
        <v>58</v>
      </c>
      <c r="Z265" s="8" t="s">
        <v>31</v>
      </c>
      <c r="AA265" s="8" t="s">
        <v>1248</v>
      </c>
      <c r="AB265" s="8" t="s">
        <v>157</v>
      </c>
    </row>
    <row r="266" spans="1:28">
      <c r="A266" s="8">
        <v>265</v>
      </c>
      <c r="B266" s="8" t="s">
        <v>1249</v>
      </c>
      <c r="C266" s="8" t="s">
        <v>1239</v>
      </c>
      <c r="D266" s="8" t="s">
        <v>1244</v>
      </c>
      <c r="E266" s="8">
        <v>4</v>
      </c>
      <c r="F266" s="8" t="str">
        <f t="shared" si="19"/>
        <v>Sub-indicator</v>
      </c>
      <c r="G266" s="8">
        <v>1</v>
      </c>
      <c r="H266" s="8" t="s">
        <v>1250</v>
      </c>
      <c r="I266" s="8" t="s">
        <v>149</v>
      </c>
      <c r="J266" s="8" t="str">
        <f t="shared" si="23"/>
        <v>WOMEN'S EQUALITY</v>
      </c>
      <c r="K266" s="8" t="str">
        <f t="shared" si="22"/>
        <v>PARTICIPATION, RIGHTS &amp; INCLUSION</v>
      </c>
      <c r="L266" s="8" t="s">
        <v>150</v>
      </c>
      <c r="M266" s="8" t="s">
        <v>151</v>
      </c>
      <c r="N266" s="8" t="s">
        <v>31</v>
      </c>
      <c r="O266" s="8" t="s">
        <v>31</v>
      </c>
      <c r="P266" s="8" t="s">
        <v>31</v>
      </c>
      <c r="Q266" s="9" t="s">
        <v>1251</v>
      </c>
      <c r="R266" s="8" t="s">
        <v>53</v>
      </c>
      <c r="S266" s="10">
        <v>45432</v>
      </c>
      <c r="T266" s="8" t="s">
        <v>1252</v>
      </c>
      <c r="U266" s="8" t="s">
        <v>229</v>
      </c>
      <c r="V266" s="8" t="s">
        <v>155</v>
      </c>
      <c r="W266" s="8" t="s">
        <v>156</v>
      </c>
      <c r="X266" s="8" t="s">
        <v>58</v>
      </c>
      <c r="Y266" s="8" t="s">
        <v>58</v>
      </c>
      <c r="Z266" s="8" t="s">
        <v>31</v>
      </c>
      <c r="AB266" s="8" t="s">
        <v>157</v>
      </c>
    </row>
    <row r="267" spans="1:28">
      <c r="A267" s="8">
        <v>266</v>
      </c>
      <c r="B267" s="8" t="s">
        <v>1253</v>
      </c>
      <c r="C267" s="8" t="s">
        <v>1239</v>
      </c>
      <c r="D267" s="8" t="s">
        <v>1244</v>
      </c>
      <c r="E267" s="8">
        <v>4</v>
      </c>
      <c r="F267" s="8" t="s">
        <v>136</v>
      </c>
      <c r="G267" s="8">
        <v>1</v>
      </c>
      <c r="H267" s="8" t="s">
        <v>1254</v>
      </c>
      <c r="I267" s="8" t="s">
        <v>719</v>
      </c>
      <c r="J267" s="8" t="str">
        <f t="shared" si="23"/>
        <v>WOMEN'S EQUALITY</v>
      </c>
      <c r="K267" s="8" t="s">
        <v>756</v>
      </c>
      <c r="L267" s="8" t="s">
        <v>720</v>
      </c>
      <c r="M267" s="8" t="s">
        <v>1255</v>
      </c>
      <c r="N267" s="8" t="s">
        <v>31</v>
      </c>
      <c r="O267" s="8" t="s">
        <v>31</v>
      </c>
      <c r="P267" s="8" t="s">
        <v>31</v>
      </c>
      <c r="Q267" s="9" t="s">
        <v>1256</v>
      </c>
      <c r="R267" s="8" t="s">
        <v>53</v>
      </c>
      <c r="S267" s="10">
        <v>45505</v>
      </c>
      <c r="T267" s="8" t="s">
        <v>1257</v>
      </c>
      <c r="U267" s="8" t="s">
        <v>196</v>
      </c>
      <c r="V267" s="8" t="s">
        <v>155</v>
      </c>
      <c r="W267" s="8" t="s">
        <v>1258</v>
      </c>
      <c r="X267" s="8" t="s">
        <v>58</v>
      </c>
      <c r="Y267" s="8" t="s">
        <v>58</v>
      </c>
      <c r="Z267" s="8" t="s">
        <v>31</v>
      </c>
      <c r="AA267" s="8" t="s">
        <v>1259</v>
      </c>
    </row>
    <row r="268" spans="1:28">
      <c r="A268" s="8">
        <v>267</v>
      </c>
      <c r="B268" s="8" t="s">
        <v>1260</v>
      </c>
      <c r="C268" s="8" t="s">
        <v>1210</v>
      </c>
      <c r="D268" s="8" t="s">
        <v>1211</v>
      </c>
      <c r="E268" s="12">
        <v>3</v>
      </c>
      <c r="F268" s="12" t="str">
        <f t="shared" ref="F268:F284" si="24">IF(E268=0,"Overall",IF(E268=1,"Category",IF(E268=2,"Sub-category",IF(E268=3,"Indicator",IF(E268=4,"Sub-indicator", "Sub-sub-indicator")))))</f>
        <v>Indicator</v>
      </c>
      <c r="G268" s="8">
        <v>0</v>
      </c>
      <c r="H268" s="12" t="s">
        <v>1261</v>
      </c>
      <c r="I268" s="8" t="s">
        <v>255</v>
      </c>
      <c r="J268" s="8" t="str">
        <f t="shared" si="23"/>
        <v>WOMEN'S EQUALITY</v>
      </c>
      <c r="K268" s="8" t="str">
        <f t="shared" ref="K268:K273" si="25">$H$152</f>
        <v>PARTICIPATION, RIGHTS &amp; INCLUSION</v>
      </c>
      <c r="L268" s="8" t="s">
        <v>33</v>
      </c>
      <c r="M268" s="8" t="s">
        <v>31</v>
      </c>
      <c r="N268" s="8" t="s">
        <v>31</v>
      </c>
      <c r="O268" s="8" t="s">
        <v>31</v>
      </c>
      <c r="P268" s="8" t="s">
        <v>31</v>
      </c>
      <c r="Q268" s="9" t="s">
        <v>1262</v>
      </c>
      <c r="R268" s="8" t="s">
        <v>31</v>
      </c>
      <c r="S268" s="10" t="s">
        <v>31</v>
      </c>
      <c r="T268" s="8" t="s">
        <v>31</v>
      </c>
      <c r="U268" s="8" t="s">
        <v>31</v>
      </c>
      <c r="V268" s="8" t="s">
        <v>31</v>
      </c>
      <c r="W268" s="8" t="s">
        <v>31</v>
      </c>
      <c r="X268" s="8" t="s">
        <v>31</v>
      </c>
      <c r="Y268" s="8" t="s">
        <v>31</v>
      </c>
      <c r="Z268" s="8" t="s">
        <v>31</v>
      </c>
    </row>
    <row r="269" spans="1:28">
      <c r="A269" s="8">
        <v>268</v>
      </c>
      <c r="B269" s="8" t="s">
        <v>1263</v>
      </c>
      <c r="C269" s="8" t="s">
        <v>1260</v>
      </c>
      <c r="D269" s="8" t="s">
        <v>1261</v>
      </c>
      <c r="E269" s="8">
        <v>4</v>
      </c>
      <c r="F269" s="8" t="str">
        <f t="shared" si="24"/>
        <v>Sub-indicator</v>
      </c>
      <c r="G269" s="8">
        <v>1</v>
      </c>
      <c r="H269" s="8" t="s">
        <v>1264</v>
      </c>
      <c r="I269" s="8" t="s">
        <v>149</v>
      </c>
      <c r="J269" s="8" t="str">
        <f t="shared" si="23"/>
        <v>WOMEN'S EQUALITY</v>
      </c>
      <c r="K269" s="8" t="str">
        <f t="shared" si="25"/>
        <v>PARTICIPATION, RIGHTS &amp; INCLUSION</v>
      </c>
      <c r="L269" s="8" t="s">
        <v>150</v>
      </c>
      <c r="M269" s="8" t="s">
        <v>151</v>
      </c>
      <c r="N269" s="8" t="s">
        <v>31</v>
      </c>
      <c r="O269" s="8" t="s">
        <v>31</v>
      </c>
      <c r="P269" s="8" t="s">
        <v>31</v>
      </c>
      <c r="Q269" s="9" t="s">
        <v>1265</v>
      </c>
      <c r="R269" s="8" t="s">
        <v>53</v>
      </c>
      <c r="S269" s="10">
        <v>45432</v>
      </c>
      <c r="T269" s="8" t="s">
        <v>1266</v>
      </c>
      <c r="U269" s="8" t="s">
        <v>154</v>
      </c>
      <c r="V269" s="8" t="s">
        <v>155</v>
      </c>
      <c r="W269" s="8" t="s">
        <v>156</v>
      </c>
      <c r="X269" s="8" t="s">
        <v>58</v>
      </c>
      <c r="Y269" s="8" t="s">
        <v>58</v>
      </c>
      <c r="Z269" s="8" t="s">
        <v>31</v>
      </c>
      <c r="AA269" s="8" t="s">
        <v>1267</v>
      </c>
    </row>
    <row r="270" spans="1:28">
      <c r="A270" s="8">
        <v>269</v>
      </c>
      <c r="B270" s="8" t="s">
        <v>1268</v>
      </c>
      <c r="C270" s="8" t="s">
        <v>1260</v>
      </c>
      <c r="D270" s="8" t="s">
        <v>1261</v>
      </c>
      <c r="E270" s="8">
        <v>4</v>
      </c>
      <c r="F270" s="8" t="str">
        <f t="shared" si="24"/>
        <v>Sub-indicator</v>
      </c>
      <c r="G270" s="8">
        <v>1</v>
      </c>
      <c r="H270" s="8" t="s">
        <v>1269</v>
      </c>
      <c r="I270" s="8" t="s">
        <v>267</v>
      </c>
      <c r="J270" s="8" t="str">
        <f t="shared" si="23"/>
        <v>WOMEN'S EQUALITY</v>
      </c>
      <c r="K270" s="8" t="str">
        <f t="shared" si="25"/>
        <v>PARTICIPATION, RIGHTS &amp; INCLUSION</v>
      </c>
      <c r="L270" s="8" t="s">
        <v>268</v>
      </c>
      <c r="M270" s="8" t="s">
        <v>269</v>
      </c>
      <c r="N270" s="8" t="s">
        <v>31</v>
      </c>
      <c r="O270" s="8" t="s">
        <v>31</v>
      </c>
      <c r="P270" s="8" t="s">
        <v>31</v>
      </c>
      <c r="Q270" s="9" t="s">
        <v>1270</v>
      </c>
      <c r="R270" s="8" t="s">
        <v>53</v>
      </c>
      <c r="S270" s="10">
        <v>45481</v>
      </c>
      <c r="T270" s="8" t="s">
        <v>1271</v>
      </c>
      <c r="U270" s="8" t="s">
        <v>196</v>
      </c>
      <c r="V270" s="8" t="s">
        <v>155</v>
      </c>
      <c r="W270" s="8" t="s">
        <v>272</v>
      </c>
      <c r="X270" s="8" t="s">
        <v>58</v>
      </c>
      <c r="Y270" s="8" t="s">
        <v>58</v>
      </c>
      <c r="Z270" s="8" t="s">
        <v>31</v>
      </c>
      <c r="AA270" s="8" t="s">
        <v>273</v>
      </c>
    </row>
    <row r="271" spans="1:28">
      <c r="A271" s="8">
        <v>270</v>
      </c>
      <c r="B271" s="8" t="s">
        <v>1272</v>
      </c>
      <c r="C271" s="8" t="s">
        <v>1210</v>
      </c>
      <c r="D271" s="8" t="s">
        <v>1211</v>
      </c>
      <c r="E271" s="12">
        <v>3</v>
      </c>
      <c r="F271" s="12" t="str">
        <f t="shared" si="24"/>
        <v>Indicator</v>
      </c>
      <c r="G271" s="8">
        <v>1</v>
      </c>
      <c r="H271" s="12" t="s">
        <v>1273</v>
      </c>
      <c r="I271" s="8" t="s">
        <v>149</v>
      </c>
      <c r="J271" s="8" t="str">
        <f t="shared" si="23"/>
        <v>WOMEN'S EQUALITY</v>
      </c>
      <c r="K271" s="8" t="str">
        <f t="shared" si="25"/>
        <v>PARTICIPATION, RIGHTS &amp; INCLUSION</v>
      </c>
      <c r="L271" s="8" t="s">
        <v>150</v>
      </c>
      <c r="M271" s="8" t="s">
        <v>151</v>
      </c>
      <c r="N271" s="8" t="s">
        <v>31</v>
      </c>
      <c r="O271" s="8" t="s">
        <v>31</v>
      </c>
      <c r="P271" s="8" t="s">
        <v>31</v>
      </c>
      <c r="Q271" s="9" t="s">
        <v>1274</v>
      </c>
      <c r="R271" s="8" t="s">
        <v>53</v>
      </c>
      <c r="S271" s="10">
        <v>45432</v>
      </c>
      <c r="T271" s="8" t="s">
        <v>1275</v>
      </c>
      <c r="U271" s="8" t="s">
        <v>229</v>
      </c>
      <c r="V271" s="8" t="s">
        <v>155</v>
      </c>
      <c r="W271" s="8" t="s">
        <v>156</v>
      </c>
      <c r="X271" s="8" t="s">
        <v>58</v>
      </c>
      <c r="Y271" s="8" t="s">
        <v>58</v>
      </c>
      <c r="Z271" s="8" t="s">
        <v>31</v>
      </c>
      <c r="AB271" s="8" t="s">
        <v>157</v>
      </c>
    </row>
    <row r="272" spans="1:28">
      <c r="A272" s="8">
        <v>271</v>
      </c>
      <c r="B272" s="8" t="s">
        <v>1276</v>
      </c>
      <c r="C272" s="8" t="s">
        <v>1210</v>
      </c>
      <c r="D272" s="8" t="s">
        <v>1211</v>
      </c>
      <c r="E272" s="12">
        <v>3</v>
      </c>
      <c r="F272" s="12" t="str">
        <f t="shared" si="24"/>
        <v>Indicator</v>
      </c>
      <c r="G272" s="8">
        <v>1</v>
      </c>
      <c r="H272" s="12" t="s">
        <v>1277</v>
      </c>
      <c r="I272" s="8" t="s">
        <v>719</v>
      </c>
      <c r="J272" s="8" t="str">
        <f t="shared" si="23"/>
        <v>WOMEN'S EQUALITY</v>
      </c>
      <c r="K272" s="8" t="str">
        <f t="shared" si="25"/>
        <v>PARTICIPATION, RIGHTS &amp; INCLUSION</v>
      </c>
      <c r="L272" s="8" t="s">
        <v>720</v>
      </c>
      <c r="M272" s="8" t="s">
        <v>1255</v>
      </c>
      <c r="N272" s="8" t="s">
        <v>31</v>
      </c>
      <c r="O272" s="8" t="s">
        <v>31</v>
      </c>
      <c r="P272" s="8" t="s">
        <v>31</v>
      </c>
      <c r="Q272" s="9" t="s">
        <v>1278</v>
      </c>
      <c r="R272" s="8" t="s">
        <v>53</v>
      </c>
      <c r="S272" s="10">
        <v>45505</v>
      </c>
      <c r="T272" s="8" t="s">
        <v>1279</v>
      </c>
      <c r="U272" s="8" t="s">
        <v>871</v>
      </c>
      <c r="V272" s="8" t="s">
        <v>155</v>
      </c>
      <c r="W272" s="8" t="s">
        <v>1258</v>
      </c>
      <c r="X272" s="8" t="s">
        <v>58</v>
      </c>
      <c r="Y272" s="8" t="s">
        <v>58</v>
      </c>
      <c r="Z272" s="8" t="s">
        <v>31</v>
      </c>
      <c r="AA272" s="8" t="s">
        <v>1280</v>
      </c>
      <c r="AB272" s="8" t="s">
        <v>1259</v>
      </c>
    </row>
    <row r="273" spans="1:29">
      <c r="A273" s="8">
        <v>272</v>
      </c>
      <c r="B273" s="8" t="s">
        <v>1281</v>
      </c>
      <c r="C273" s="8" t="s">
        <v>1210</v>
      </c>
      <c r="D273" s="8" t="s">
        <v>1211</v>
      </c>
      <c r="E273" s="12">
        <v>3</v>
      </c>
      <c r="F273" s="12" t="str">
        <f t="shared" si="24"/>
        <v>Indicator</v>
      </c>
      <c r="G273" s="8">
        <v>1</v>
      </c>
      <c r="H273" s="12" t="s">
        <v>1282</v>
      </c>
      <c r="I273" s="8" t="s">
        <v>188</v>
      </c>
      <c r="J273" s="8" t="str">
        <f t="shared" si="23"/>
        <v>WOMEN'S EQUALITY</v>
      </c>
      <c r="K273" s="8" t="str">
        <f t="shared" si="25"/>
        <v>PARTICIPATION, RIGHTS &amp; INCLUSION</v>
      </c>
      <c r="L273" s="8" t="s">
        <v>192</v>
      </c>
      <c r="M273" s="8" t="s">
        <v>193</v>
      </c>
      <c r="N273" s="8" t="s">
        <v>31</v>
      </c>
      <c r="O273" s="8" t="s">
        <v>31</v>
      </c>
      <c r="P273" s="8" t="s">
        <v>31</v>
      </c>
      <c r="Q273" s="9" t="s">
        <v>1283</v>
      </c>
      <c r="R273" s="8" t="s">
        <v>97</v>
      </c>
      <c r="S273" s="10">
        <v>45498</v>
      </c>
      <c r="T273" s="8" t="s">
        <v>1284</v>
      </c>
      <c r="U273" s="8" t="s">
        <v>196</v>
      </c>
      <c r="V273" s="8" t="s">
        <v>197</v>
      </c>
      <c r="W273" s="8" t="s">
        <v>198</v>
      </c>
      <c r="X273" s="8" t="s">
        <v>199</v>
      </c>
      <c r="Y273" s="8" t="s">
        <v>1285</v>
      </c>
      <c r="Z273" s="8" t="s">
        <v>31</v>
      </c>
      <c r="AA273" s="8" t="s">
        <v>201</v>
      </c>
      <c r="AB273" s="8" t="s">
        <v>202</v>
      </c>
    </row>
    <row r="274" spans="1:29" s="6" customFormat="1">
      <c r="A274" s="6">
        <v>273</v>
      </c>
      <c r="B274" s="6" t="s">
        <v>1286</v>
      </c>
      <c r="C274" s="6" t="s">
        <v>29</v>
      </c>
      <c r="D274" s="6" t="s">
        <v>30</v>
      </c>
      <c r="E274" s="6">
        <v>1</v>
      </c>
      <c r="F274" s="6" t="str">
        <f t="shared" si="24"/>
        <v>Category</v>
      </c>
      <c r="G274" s="6">
        <v>0</v>
      </c>
      <c r="H274" s="6" t="s">
        <v>1287</v>
      </c>
      <c r="I274" s="6" t="s">
        <v>31</v>
      </c>
      <c r="J274" s="6" t="s">
        <v>31</v>
      </c>
      <c r="K274" s="6" t="s">
        <v>31</v>
      </c>
      <c r="L274" s="6" t="s">
        <v>33</v>
      </c>
      <c r="M274" s="6" t="s">
        <v>31</v>
      </c>
      <c r="N274" s="6" t="s">
        <v>31</v>
      </c>
      <c r="O274" s="6" t="s">
        <v>31</v>
      </c>
      <c r="P274" s="6" t="s">
        <v>31</v>
      </c>
      <c r="Q274" s="24" t="s">
        <v>1288</v>
      </c>
      <c r="R274" s="6" t="s">
        <v>31</v>
      </c>
      <c r="S274" s="6" t="s">
        <v>31</v>
      </c>
      <c r="T274" s="6" t="s">
        <v>31</v>
      </c>
      <c r="U274" s="6" t="s">
        <v>31</v>
      </c>
      <c r="V274" s="6" t="s">
        <v>31</v>
      </c>
      <c r="W274" s="6" t="s">
        <v>31</v>
      </c>
      <c r="X274" s="6" t="s">
        <v>31</v>
      </c>
      <c r="Y274" s="6" t="s">
        <v>31</v>
      </c>
      <c r="Z274" s="6" t="s">
        <v>31</v>
      </c>
    </row>
    <row r="275" spans="1:29" s="6" customFormat="1">
      <c r="A275" s="6">
        <v>274</v>
      </c>
      <c r="B275" s="6" t="s">
        <v>1289</v>
      </c>
      <c r="C275" s="6" t="s">
        <v>1286</v>
      </c>
      <c r="D275" s="6" t="s">
        <v>1287</v>
      </c>
      <c r="E275" s="6">
        <v>2</v>
      </c>
      <c r="F275" s="6" t="str">
        <f t="shared" si="24"/>
        <v>Sub-category</v>
      </c>
      <c r="G275" s="6">
        <v>0</v>
      </c>
      <c r="H275" s="6" t="s">
        <v>1290</v>
      </c>
      <c r="I275" s="6" t="s">
        <v>31</v>
      </c>
      <c r="J275" s="6" t="s">
        <v>31</v>
      </c>
      <c r="K275" s="6" t="str">
        <f>$H$274</f>
        <v>FOUNDATIONS FOR ECONOMIC OPPORTUNITY</v>
      </c>
      <c r="L275" s="6" t="s">
        <v>33</v>
      </c>
      <c r="M275" s="6" t="s">
        <v>31</v>
      </c>
      <c r="N275" s="6" t="s">
        <v>31</v>
      </c>
      <c r="O275" s="6" t="s">
        <v>31</v>
      </c>
      <c r="P275" s="6" t="s">
        <v>31</v>
      </c>
      <c r="Q275" s="24" t="s">
        <v>1291</v>
      </c>
      <c r="R275" s="6" t="s">
        <v>31</v>
      </c>
      <c r="S275" s="6" t="s">
        <v>31</v>
      </c>
      <c r="T275" s="6" t="s">
        <v>31</v>
      </c>
      <c r="U275" s="6" t="s">
        <v>31</v>
      </c>
      <c r="V275" s="6" t="s">
        <v>31</v>
      </c>
      <c r="W275" s="6" t="s">
        <v>31</v>
      </c>
      <c r="X275" s="6" t="s">
        <v>31</v>
      </c>
      <c r="Y275" s="6" t="s">
        <v>31</v>
      </c>
      <c r="Z275" s="6" t="s">
        <v>31</v>
      </c>
    </row>
    <row r="276" spans="1:29">
      <c r="A276" s="8">
        <v>275</v>
      </c>
      <c r="B276" s="8" t="s">
        <v>1292</v>
      </c>
      <c r="C276" s="8" t="s">
        <v>1289</v>
      </c>
      <c r="D276" s="8" t="s">
        <v>1290</v>
      </c>
      <c r="E276" s="12">
        <v>3</v>
      </c>
      <c r="F276" s="12" t="str">
        <f t="shared" si="24"/>
        <v>Indicator</v>
      </c>
      <c r="G276" s="8">
        <v>0</v>
      </c>
      <c r="H276" s="12" t="s">
        <v>1293</v>
      </c>
      <c r="I276" s="8" t="s">
        <v>267</v>
      </c>
      <c r="J276" s="8" t="str">
        <f>$H$275</f>
        <v>PUBLIC ADMINISTRATION</v>
      </c>
      <c r="K276" s="8" t="str">
        <f>$H$274</f>
        <v>FOUNDATIONS FOR ECONOMIC OPPORTUNITY</v>
      </c>
      <c r="L276" s="8" t="s">
        <v>33</v>
      </c>
      <c r="M276" s="8" t="s">
        <v>31</v>
      </c>
      <c r="N276" s="8" t="s">
        <v>31</v>
      </c>
      <c r="O276" s="8" t="s">
        <v>31</v>
      </c>
      <c r="P276" s="8" t="s">
        <v>31</v>
      </c>
      <c r="Q276" s="9" t="s">
        <v>1294</v>
      </c>
      <c r="R276" s="8" t="s">
        <v>31</v>
      </c>
      <c r="S276" s="10" t="s">
        <v>31</v>
      </c>
      <c r="T276" s="8" t="s">
        <v>31</v>
      </c>
      <c r="U276" s="8" t="s">
        <v>31</v>
      </c>
      <c r="V276" s="8" t="s">
        <v>31</v>
      </c>
      <c r="W276" s="8" t="s">
        <v>31</v>
      </c>
      <c r="X276" s="8" t="s">
        <v>31</v>
      </c>
      <c r="Y276" s="8" t="s">
        <v>31</v>
      </c>
      <c r="Z276" s="8" t="s">
        <v>31</v>
      </c>
    </row>
    <row r="277" spans="1:29">
      <c r="A277" s="8">
        <v>276</v>
      </c>
      <c r="B277" s="8" t="s">
        <v>1295</v>
      </c>
      <c r="C277" s="8" t="s">
        <v>1292</v>
      </c>
      <c r="D277" s="8" t="s">
        <v>1293</v>
      </c>
      <c r="E277" s="8">
        <v>4</v>
      </c>
      <c r="F277" s="8" t="str">
        <f t="shared" si="24"/>
        <v>Sub-indicator</v>
      </c>
      <c r="G277" s="8">
        <v>1</v>
      </c>
      <c r="H277" s="8" t="s">
        <v>1296</v>
      </c>
      <c r="I277" s="8" t="s">
        <v>267</v>
      </c>
      <c r="J277" s="8" t="str">
        <f>$H$275</f>
        <v>PUBLIC ADMINISTRATION</v>
      </c>
      <c r="K277" s="8" t="str">
        <f>$H$274</f>
        <v>FOUNDATIONS FOR ECONOMIC OPPORTUNITY</v>
      </c>
      <c r="L277" s="8" t="s">
        <v>268</v>
      </c>
      <c r="M277" s="8" t="s">
        <v>269</v>
      </c>
      <c r="N277" s="8" t="s">
        <v>31</v>
      </c>
      <c r="O277" s="8" t="s">
        <v>31</v>
      </c>
      <c r="P277" s="8" t="s">
        <v>31</v>
      </c>
      <c r="Q277" s="9" t="s">
        <v>1297</v>
      </c>
      <c r="R277" s="8" t="s">
        <v>53</v>
      </c>
      <c r="S277" s="10">
        <v>45481</v>
      </c>
      <c r="T277" s="8" t="s">
        <v>1298</v>
      </c>
      <c r="U277" s="8" t="s">
        <v>196</v>
      </c>
      <c r="V277" s="8" t="s">
        <v>155</v>
      </c>
      <c r="W277" s="8" t="s">
        <v>272</v>
      </c>
      <c r="X277" s="8" t="s">
        <v>58</v>
      </c>
      <c r="Y277" s="8" t="s">
        <v>58</v>
      </c>
      <c r="Z277" s="8" t="s">
        <v>31</v>
      </c>
      <c r="AA277" s="8" t="s">
        <v>273</v>
      </c>
    </row>
    <row r="278" spans="1:29">
      <c r="A278" s="8">
        <v>277</v>
      </c>
      <c r="B278" s="8" t="s">
        <v>1299</v>
      </c>
      <c r="C278" s="8" t="s">
        <v>1292</v>
      </c>
      <c r="D278" s="8" t="s">
        <v>1293</v>
      </c>
      <c r="E278" s="8">
        <v>4</v>
      </c>
      <c r="F278" s="8" t="str">
        <f t="shared" si="24"/>
        <v>Sub-indicator</v>
      </c>
      <c r="G278" s="8">
        <v>1</v>
      </c>
      <c r="H278" s="8" t="s">
        <v>1300</v>
      </c>
      <c r="I278" s="8" t="s">
        <v>267</v>
      </c>
      <c r="J278" s="8" t="str">
        <f>$H$275</f>
        <v>PUBLIC ADMINISTRATION</v>
      </c>
      <c r="K278" s="8" t="str">
        <f>$H$274</f>
        <v>FOUNDATIONS FOR ECONOMIC OPPORTUNITY</v>
      </c>
      <c r="L278" s="8" t="s">
        <v>268</v>
      </c>
      <c r="M278" s="8" t="s">
        <v>269</v>
      </c>
      <c r="N278" s="8" t="s">
        <v>31</v>
      </c>
      <c r="O278" s="8" t="s">
        <v>31</v>
      </c>
      <c r="P278" s="8" t="s">
        <v>31</v>
      </c>
      <c r="Q278" s="9" t="s">
        <v>1301</v>
      </c>
      <c r="R278" s="8" t="s">
        <v>53</v>
      </c>
      <c r="S278" s="10">
        <v>45481</v>
      </c>
      <c r="T278" s="8" t="s">
        <v>1302</v>
      </c>
      <c r="U278" s="8" t="s">
        <v>196</v>
      </c>
      <c r="V278" s="8" t="s">
        <v>155</v>
      </c>
      <c r="W278" s="8" t="s">
        <v>272</v>
      </c>
      <c r="X278" s="8" t="s">
        <v>58</v>
      </c>
      <c r="Y278" s="8" t="s">
        <v>58</v>
      </c>
      <c r="Z278" s="8" t="s">
        <v>31</v>
      </c>
      <c r="AA278" s="8" t="s">
        <v>273</v>
      </c>
    </row>
    <row r="279" spans="1:29">
      <c r="A279" s="8">
        <v>278</v>
      </c>
      <c r="B279" s="8" t="s">
        <v>1303</v>
      </c>
      <c r="C279" s="8" t="s">
        <v>1289</v>
      </c>
      <c r="D279" s="8" t="s">
        <v>1290</v>
      </c>
      <c r="E279" s="12">
        <v>3</v>
      </c>
      <c r="F279" s="12" t="str">
        <f t="shared" si="24"/>
        <v>Indicator</v>
      </c>
      <c r="G279" s="8">
        <v>0</v>
      </c>
      <c r="H279" s="12" t="s">
        <v>1304</v>
      </c>
      <c r="I279" s="8" t="s">
        <v>1305</v>
      </c>
      <c r="J279" s="8" t="str">
        <f>$H$275</f>
        <v>PUBLIC ADMINISTRATION</v>
      </c>
      <c r="K279" s="8" t="str">
        <f>$H$274</f>
        <v>FOUNDATIONS FOR ECONOMIC OPPORTUNITY</v>
      </c>
      <c r="L279" s="8" t="s">
        <v>33</v>
      </c>
      <c r="M279" s="8" t="s">
        <v>31</v>
      </c>
      <c r="N279" s="8" t="s">
        <v>31</v>
      </c>
      <c r="O279" s="8" t="s">
        <v>31</v>
      </c>
      <c r="P279" s="8" t="s">
        <v>31</v>
      </c>
      <c r="Q279" s="9" t="s">
        <v>1306</v>
      </c>
      <c r="R279" s="8" t="s">
        <v>31</v>
      </c>
      <c r="S279" s="10" t="s">
        <v>31</v>
      </c>
      <c r="T279" s="8" t="s">
        <v>31</v>
      </c>
      <c r="U279" s="8" t="s">
        <v>31</v>
      </c>
      <c r="V279" s="8" t="s">
        <v>31</v>
      </c>
      <c r="W279" s="8" t="s">
        <v>31</v>
      </c>
      <c r="X279" s="8" t="s">
        <v>31</v>
      </c>
      <c r="Y279" s="8" t="s">
        <v>31</v>
      </c>
      <c r="Z279" s="8" t="s">
        <v>31</v>
      </c>
    </row>
    <row r="280" spans="1:29">
      <c r="A280" s="8">
        <v>279</v>
      </c>
      <c r="B280" s="8" t="s">
        <v>1307</v>
      </c>
      <c r="C280" s="8" t="s">
        <v>1303</v>
      </c>
      <c r="D280" s="8" t="s">
        <v>1304</v>
      </c>
      <c r="E280" s="21">
        <v>4</v>
      </c>
      <c r="F280" s="8" t="str">
        <f t="shared" si="24"/>
        <v>Sub-indicator</v>
      </c>
      <c r="G280" s="8">
        <v>1</v>
      </c>
      <c r="H280" s="8" t="s">
        <v>1308</v>
      </c>
      <c r="I280" s="8" t="s">
        <v>719</v>
      </c>
      <c r="J280" s="8" t="s">
        <v>1290</v>
      </c>
      <c r="K280" s="8" t="s">
        <v>1287</v>
      </c>
      <c r="L280" s="8" t="s">
        <v>720</v>
      </c>
      <c r="M280" s="8" t="s">
        <v>1309</v>
      </c>
      <c r="N280" s="8" t="s">
        <v>31</v>
      </c>
      <c r="O280" s="8" t="s">
        <v>31</v>
      </c>
      <c r="P280" s="8" t="s">
        <v>31</v>
      </c>
      <c r="Q280" s="9" t="s">
        <v>1310</v>
      </c>
      <c r="R280" s="8" t="s">
        <v>1311</v>
      </c>
      <c r="S280" s="10">
        <v>45503</v>
      </c>
      <c r="T280" s="8" t="s">
        <v>1312</v>
      </c>
      <c r="U280" s="8" t="s">
        <v>196</v>
      </c>
      <c r="V280" s="8" t="s">
        <v>155</v>
      </c>
      <c r="W280" s="8" t="s">
        <v>1313</v>
      </c>
      <c r="X280" s="8" t="s">
        <v>1314</v>
      </c>
      <c r="Y280" s="8" t="s">
        <v>1315</v>
      </c>
      <c r="Z280" s="8" t="s">
        <v>31</v>
      </c>
    </row>
    <row r="281" spans="1:29">
      <c r="A281" s="8">
        <v>280</v>
      </c>
      <c r="B281" s="8" t="s">
        <v>1316</v>
      </c>
      <c r="C281" s="8" t="s">
        <v>1303</v>
      </c>
      <c r="D281" s="8" t="s">
        <v>1304</v>
      </c>
      <c r="E281" s="21">
        <v>4</v>
      </c>
      <c r="F281" s="8" t="str">
        <f t="shared" si="24"/>
        <v>Sub-indicator</v>
      </c>
      <c r="G281" s="8">
        <v>0</v>
      </c>
      <c r="H281" s="8" t="s">
        <v>1317</v>
      </c>
      <c r="I281" s="8" t="s">
        <v>1318</v>
      </c>
      <c r="J281" s="8" t="str">
        <f t="shared" ref="J281:J295" si="26">$H$275</f>
        <v>PUBLIC ADMINISTRATION</v>
      </c>
      <c r="K281" s="8" t="str">
        <f t="shared" ref="K281:K298" si="27">$H$274</f>
        <v>FOUNDATIONS FOR ECONOMIC OPPORTUNITY</v>
      </c>
      <c r="L281" s="8" t="s">
        <v>33</v>
      </c>
      <c r="M281" s="8" t="s">
        <v>31</v>
      </c>
      <c r="N281" s="8" t="s">
        <v>31</v>
      </c>
      <c r="O281" s="8" t="s">
        <v>31</v>
      </c>
      <c r="P281" s="8" t="s">
        <v>31</v>
      </c>
      <c r="Q281" s="9" t="s">
        <v>1319</v>
      </c>
      <c r="R281" s="8" t="s">
        <v>31</v>
      </c>
      <c r="S281" s="10" t="s">
        <v>31</v>
      </c>
      <c r="T281" s="8" t="s">
        <v>31</v>
      </c>
      <c r="U281" s="8" t="s">
        <v>31</v>
      </c>
      <c r="V281" s="8" t="s">
        <v>31</v>
      </c>
      <c r="W281" s="8" t="s">
        <v>31</v>
      </c>
      <c r="X281" s="8" t="s">
        <v>31</v>
      </c>
      <c r="Y281" s="8" t="s">
        <v>31</v>
      </c>
      <c r="Z281" s="8" t="s">
        <v>31</v>
      </c>
    </row>
    <row r="282" spans="1:29">
      <c r="A282" s="8">
        <v>281</v>
      </c>
      <c r="B282" s="8" t="s">
        <v>1320</v>
      </c>
      <c r="C282" s="8" t="s">
        <v>1316</v>
      </c>
      <c r="D282" s="8" t="s">
        <v>1317</v>
      </c>
      <c r="E282" s="8">
        <v>5</v>
      </c>
      <c r="F282" s="8" t="str">
        <f t="shared" si="24"/>
        <v>Sub-sub-indicator</v>
      </c>
      <c r="G282" s="8">
        <v>1</v>
      </c>
      <c r="H282" s="8" t="s">
        <v>1321</v>
      </c>
      <c r="I282" s="8" t="s">
        <v>1318</v>
      </c>
      <c r="J282" s="8" t="str">
        <f t="shared" si="26"/>
        <v>PUBLIC ADMINISTRATION</v>
      </c>
      <c r="K282" s="8" t="str">
        <f t="shared" si="27"/>
        <v>FOUNDATIONS FOR ECONOMIC OPPORTUNITY</v>
      </c>
      <c r="L282" s="8" t="s">
        <v>1322</v>
      </c>
      <c r="M282" s="8" t="s">
        <v>1323</v>
      </c>
      <c r="N282" s="8" t="s">
        <v>31</v>
      </c>
      <c r="O282" s="8" t="s">
        <v>31</v>
      </c>
      <c r="P282" s="8" t="s">
        <v>31</v>
      </c>
      <c r="Q282" s="9" t="s">
        <v>1324</v>
      </c>
      <c r="R282" s="8" t="s">
        <v>1325</v>
      </c>
      <c r="S282" s="10">
        <v>45448</v>
      </c>
      <c r="T282" s="8" t="s">
        <v>1326</v>
      </c>
      <c r="U282" s="8" t="s">
        <v>196</v>
      </c>
      <c r="V282" s="8" t="s">
        <v>155</v>
      </c>
      <c r="W282" s="8" t="s">
        <v>1327</v>
      </c>
      <c r="X282" s="8" t="s">
        <v>1314</v>
      </c>
      <c r="Y282" s="8" t="s">
        <v>1315</v>
      </c>
      <c r="Z282" s="8" t="s">
        <v>31</v>
      </c>
      <c r="AA282" s="8" t="s">
        <v>1328</v>
      </c>
    </row>
    <row r="283" spans="1:29">
      <c r="A283" s="8">
        <v>282</v>
      </c>
      <c r="B283" s="8" t="s">
        <v>1329</v>
      </c>
      <c r="C283" s="8" t="s">
        <v>1316</v>
      </c>
      <c r="D283" s="8" t="s">
        <v>1317</v>
      </c>
      <c r="E283" s="8">
        <v>5</v>
      </c>
      <c r="F283" s="8" t="str">
        <f t="shared" si="24"/>
        <v>Sub-sub-indicator</v>
      </c>
      <c r="G283" s="8">
        <v>1</v>
      </c>
      <c r="H283" s="8" t="s">
        <v>1330</v>
      </c>
      <c r="I283" s="8" t="s">
        <v>1318</v>
      </c>
      <c r="J283" s="8" t="str">
        <f t="shared" si="26"/>
        <v>PUBLIC ADMINISTRATION</v>
      </c>
      <c r="K283" s="8" t="str">
        <f t="shared" si="27"/>
        <v>FOUNDATIONS FOR ECONOMIC OPPORTUNITY</v>
      </c>
      <c r="L283" s="8" t="s">
        <v>1322</v>
      </c>
      <c r="M283" s="8" t="s">
        <v>1323</v>
      </c>
      <c r="N283" s="8" t="s">
        <v>31</v>
      </c>
      <c r="O283" s="8" t="s">
        <v>31</v>
      </c>
      <c r="P283" s="8" t="s">
        <v>31</v>
      </c>
      <c r="Q283" s="9" t="s">
        <v>1331</v>
      </c>
      <c r="R283" s="8" t="s">
        <v>1325</v>
      </c>
      <c r="S283" s="10">
        <v>45448</v>
      </c>
      <c r="T283" s="8" t="s">
        <v>1332</v>
      </c>
      <c r="U283" s="8" t="s">
        <v>196</v>
      </c>
      <c r="V283" s="8" t="s">
        <v>155</v>
      </c>
      <c r="W283" s="8" t="s">
        <v>1327</v>
      </c>
      <c r="X283" s="8" t="s">
        <v>1314</v>
      </c>
      <c r="Y283" s="8" t="s">
        <v>1315</v>
      </c>
      <c r="Z283" s="8" t="s">
        <v>31</v>
      </c>
      <c r="AA283" s="8" t="s">
        <v>1328</v>
      </c>
    </row>
    <row r="284" spans="1:29">
      <c r="A284" s="8">
        <v>283</v>
      </c>
      <c r="B284" s="8" t="s">
        <v>1333</v>
      </c>
      <c r="C284" s="8" t="s">
        <v>1303</v>
      </c>
      <c r="D284" s="8" t="s">
        <v>1304</v>
      </c>
      <c r="E284" s="8">
        <v>4</v>
      </c>
      <c r="F284" s="8" t="str">
        <f t="shared" si="24"/>
        <v>Sub-indicator</v>
      </c>
      <c r="G284" s="8">
        <v>1</v>
      </c>
      <c r="H284" s="8" t="s">
        <v>1334</v>
      </c>
      <c r="I284" s="8" t="s">
        <v>267</v>
      </c>
      <c r="J284" s="8" t="str">
        <f t="shared" si="26"/>
        <v>PUBLIC ADMINISTRATION</v>
      </c>
      <c r="K284" s="8" t="str">
        <f t="shared" si="27"/>
        <v>FOUNDATIONS FOR ECONOMIC OPPORTUNITY</v>
      </c>
      <c r="L284" s="8" t="s">
        <v>268</v>
      </c>
      <c r="M284" s="8" t="s">
        <v>269</v>
      </c>
      <c r="N284" s="8" t="s">
        <v>31</v>
      </c>
      <c r="O284" s="8" t="s">
        <v>31</v>
      </c>
      <c r="P284" s="8" t="s">
        <v>31</v>
      </c>
      <c r="Q284" s="9" t="s">
        <v>1335</v>
      </c>
      <c r="R284" s="8" t="s">
        <v>1336</v>
      </c>
      <c r="S284" s="10">
        <v>45481</v>
      </c>
      <c r="T284" s="8" t="s">
        <v>1337</v>
      </c>
      <c r="U284" s="8" t="s">
        <v>196</v>
      </c>
      <c r="V284" s="8" t="s">
        <v>155</v>
      </c>
      <c r="W284" s="8" t="s">
        <v>272</v>
      </c>
      <c r="X284" s="8" t="s">
        <v>58</v>
      </c>
      <c r="Y284" s="8" t="s">
        <v>58</v>
      </c>
      <c r="Z284" s="8" t="s">
        <v>31</v>
      </c>
      <c r="AA284" s="8" t="s">
        <v>273</v>
      </c>
      <c r="AC284" s="8" t="s">
        <v>1338</v>
      </c>
    </row>
    <row r="285" spans="1:29">
      <c r="A285" s="8">
        <v>284</v>
      </c>
      <c r="B285" s="8" t="s">
        <v>1339</v>
      </c>
      <c r="C285" s="8" t="s">
        <v>1303</v>
      </c>
      <c r="D285" s="8" t="s">
        <v>1304</v>
      </c>
      <c r="E285" s="8">
        <v>4</v>
      </c>
      <c r="F285" s="8" t="s">
        <v>136</v>
      </c>
      <c r="G285" s="8">
        <v>1</v>
      </c>
      <c r="H285" s="8" t="s">
        <v>1340</v>
      </c>
      <c r="I285" s="8" t="s">
        <v>149</v>
      </c>
      <c r="J285" s="8" t="str">
        <f t="shared" si="26"/>
        <v>PUBLIC ADMINISTRATION</v>
      </c>
      <c r="K285" s="8" t="str">
        <f t="shared" si="27"/>
        <v>FOUNDATIONS FOR ECONOMIC OPPORTUNITY</v>
      </c>
      <c r="L285" s="8" t="s">
        <v>150</v>
      </c>
      <c r="M285" s="8" t="s">
        <v>151</v>
      </c>
      <c r="N285" s="8" t="s">
        <v>31</v>
      </c>
      <c r="O285" s="8" t="s">
        <v>31</v>
      </c>
      <c r="P285" s="8" t="s">
        <v>31</v>
      </c>
      <c r="Q285" s="9" t="s">
        <v>1341</v>
      </c>
      <c r="R285" s="8" t="s">
        <v>53</v>
      </c>
      <c r="S285" s="10">
        <v>45432</v>
      </c>
      <c r="T285" s="8" t="s">
        <v>1342</v>
      </c>
      <c r="U285" s="8" t="s">
        <v>229</v>
      </c>
      <c r="V285" s="8" t="s">
        <v>155</v>
      </c>
      <c r="W285" s="8" t="s">
        <v>156</v>
      </c>
      <c r="X285" s="8" t="s">
        <v>58</v>
      </c>
      <c r="Y285" s="8" t="s">
        <v>58</v>
      </c>
      <c r="Z285" s="8" t="s">
        <v>31</v>
      </c>
      <c r="AB285" s="8" t="s">
        <v>157</v>
      </c>
    </row>
    <row r="286" spans="1:29">
      <c r="A286" s="8">
        <v>285</v>
      </c>
      <c r="B286" s="8" t="s">
        <v>1343</v>
      </c>
      <c r="C286" s="8" t="s">
        <v>1289</v>
      </c>
      <c r="D286" s="8" t="s">
        <v>1290</v>
      </c>
      <c r="E286" s="12">
        <v>3</v>
      </c>
      <c r="F286" s="12" t="str">
        <f>IF(E286=0,"Overall",IF(E286=1,"Category",IF(E286=2,"Sub-category",IF(E286=3,"Indicator",IF(E286=4,"Sub-indicator", "Sub-sub-indicator")))))</f>
        <v>Indicator</v>
      </c>
      <c r="G286" s="8">
        <v>0</v>
      </c>
      <c r="H286" s="12" t="s">
        <v>1344</v>
      </c>
      <c r="I286" s="8" t="s">
        <v>1345</v>
      </c>
      <c r="J286" s="8" t="str">
        <f>$H$275</f>
        <v>PUBLIC ADMINISTRATION</v>
      </c>
      <c r="K286" s="8" t="str">
        <f>$H$274</f>
        <v>FOUNDATIONS FOR ECONOMIC OPPORTUNITY</v>
      </c>
      <c r="L286" s="8" t="s">
        <v>33</v>
      </c>
      <c r="M286" s="8" t="s">
        <v>31</v>
      </c>
      <c r="N286" s="8" t="s">
        <v>31</v>
      </c>
      <c r="O286" s="8" t="s">
        <v>31</v>
      </c>
      <c r="P286" s="8" t="s">
        <v>31</v>
      </c>
      <c r="Q286" s="9" t="s">
        <v>1346</v>
      </c>
      <c r="R286" s="8" t="s">
        <v>31</v>
      </c>
      <c r="S286" s="10" t="s">
        <v>31</v>
      </c>
      <c r="T286" s="8" t="s">
        <v>31</v>
      </c>
      <c r="U286" s="8" t="s">
        <v>31</v>
      </c>
      <c r="V286" s="8" t="s">
        <v>31</v>
      </c>
      <c r="W286" s="8" t="s">
        <v>31</v>
      </c>
      <c r="X286" s="8" t="s">
        <v>31</v>
      </c>
      <c r="Y286" s="8" t="s">
        <v>31</v>
      </c>
      <c r="Z286" s="8" t="s">
        <v>31</v>
      </c>
    </row>
    <row r="287" spans="1:29">
      <c r="A287" s="8">
        <v>286</v>
      </c>
      <c r="B287" s="8" t="s">
        <v>1347</v>
      </c>
      <c r="C287" s="8" t="s">
        <v>1343</v>
      </c>
      <c r="D287" s="8" t="s">
        <v>1344</v>
      </c>
      <c r="E287" s="8">
        <v>4</v>
      </c>
      <c r="F287" s="8" t="str">
        <f>IF(E287=0,"Overall",IF(E287=1,"Category",IF(E287=2,"Sub-category",IF(E287=3,"Indicator",IF(E287=4,"Sub-indicator", "Sub-sub-indicator")))))</f>
        <v>Sub-indicator</v>
      </c>
      <c r="G287" s="8">
        <v>0</v>
      </c>
      <c r="H287" s="8" t="s">
        <v>1348</v>
      </c>
      <c r="I287" s="8" t="s">
        <v>255</v>
      </c>
      <c r="J287" s="8" t="str">
        <f>$H$275</f>
        <v>PUBLIC ADMINISTRATION</v>
      </c>
      <c r="K287" s="8" t="str">
        <f>$H$274</f>
        <v>FOUNDATIONS FOR ECONOMIC OPPORTUNITY</v>
      </c>
      <c r="L287" s="8" t="s">
        <v>33</v>
      </c>
      <c r="M287" s="8" t="s">
        <v>31</v>
      </c>
      <c r="N287" s="8" t="s">
        <v>31</v>
      </c>
      <c r="O287" s="8" t="s">
        <v>31</v>
      </c>
      <c r="P287" s="8" t="s">
        <v>31</v>
      </c>
      <c r="Q287" s="9" t="s">
        <v>1349</v>
      </c>
      <c r="R287" s="8" t="s">
        <v>31</v>
      </c>
      <c r="S287" s="10" t="s">
        <v>31</v>
      </c>
      <c r="T287" s="8" t="s">
        <v>31</v>
      </c>
      <c r="U287" s="8" t="s">
        <v>31</v>
      </c>
      <c r="V287" s="8" t="s">
        <v>31</v>
      </c>
      <c r="W287" s="8" t="s">
        <v>31</v>
      </c>
      <c r="X287" s="8" t="s">
        <v>31</v>
      </c>
      <c r="Y287" s="8" t="s">
        <v>31</v>
      </c>
      <c r="Z287" s="8" t="s">
        <v>31</v>
      </c>
    </row>
    <row r="288" spans="1:29">
      <c r="A288" s="8">
        <v>287</v>
      </c>
      <c r="B288" s="8" t="s">
        <v>1350</v>
      </c>
      <c r="C288" s="8" t="s">
        <v>1347</v>
      </c>
      <c r="D288" s="8" t="s">
        <v>1351</v>
      </c>
      <c r="E288" s="8">
        <v>5</v>
      </c>
      <c r="F288" s="8" t="s">
        <v>92</v>
      </c>
      <c r="G288" s="8">
        <v>1</v>
      </c>
      <c r="H288" s="8" t="s">
        <v>1352</v>
      </c>
      <c r="I288" s="8" t="s">
        <v>149</v>
      </c>
      <c r="J288" s="8" t="s">
        <v>1290</v>
      </c>
      <c r="K288" s="8" t="s">
        <v>1287</v>
      </c>
      <c r="L288" s="8" t="s">
        <v>150</v>
      </c>
      <c r="M288" s="8" t="s">
        <v>151</v>
      </c>
      <c r="N288" s="8" t="s">
        <v>31</v>
      </c>
      <c r="O288" s="8" t="s">
        <v>31</v>
      </c>
      <c r="P288" s="8" t="s">
        <v>31</v>
      </c>
      <c r="Q288" s="9" t="s">
        <v>1353</v>
      </c>
      <c r="R288" s="8" t="s">
        <v>53</v>
      </c>
      <c r="S288" s="10">
        <v>45432</v>
      </c>
      <c r="T288" s="8" t="s">
        <v>1354</v>
      </c>
      <c r="U288" s="8" t="s">
        <v>229</v>
      </c>
      <c r="V288" s="8" t="s">
        <v>155</v>
      </c>
      <c r="W288" s="8" t="s">
        <v>156</v>
      </c>
      <c r="X288" s="8" t="s">
        <v>58</v>
      </c>
      <c r="Y288" s="8" t="s">
        <v>58</v>
      </c>
      <c r="Z288" s="8" t="s">
        <v>31</v>
      </c>
      <c r="AB288" s="8" t="s">
        <v>157</v>
      </c>
    </row>
    <row r="289" spans="1:28">
      <c r="A289" s="8">
        <v>288</v>
      </c>
      <c r="B289" s="8" t="s">
        <v>1355</v>
      </c>
      <c r="C289" s="8" t="s">
        <v>1347</v>
      </c>
      <c r="D289" s="8" t="s">
        <v>1351</v>
      </c>
      <c r="E289" s="8">
        <v>5</v>
      </c>
      <c r="F289" s="8" t="s">
        <v>92</v>
      </c>
      <c r="G289" s="8">
        <v>1</v>
      </c>
      <c r="H289" s="8" t="s">
        <v>1356</v>
      </c>
      <c r="I289" s="8" t="s">
        <v>149</v>
      </c>
      <c r="J289" s="8" t="s">
        <v>1290</v>
      </c>
      <c r="K289" s="8" t="s">
        <v>1287</v>
      </c>
      <c r="L289" s="8" t="s">
        <v>150</v>
      </c>
      <c r="M289" s="8" t="s">
        <v>151</v>
      </c>
      <c r="N289" s="8" t="s">
        <v>31</v>
      </c>
      <c r="O289" s="8" t="s">
        <v>31</v>
      </c>
      <c r="P289" s="8" t="s">
        <v>31</v>
      </c>
      <c r="Q289" s="9" t="s">
        <v>1357</v>
      </c>
      <c r="R289" s="8" t="s">
        <v>53</v>
      </c>
      <c r="S289" s="10">
        <v>45432</v>
      </c>
      <c r="T289" s="8" t="s">
        <v>1358</v>
      </c>
      <c r="U289" s="8" t="s">
        <v>229</v>
      </c>
      <c r="V289" s="8" t="s">
        <v>155</v>
      </c>
      <c r="W289" s="8" t="s">
        <v>156</v>
      </c>
      <c r="X289" s="8" t="s">
        <v>58</v>
      </c>
      <c r="Y289" s="8" t="s">
        <v>58</v>
      </c>
      <c r="Z289" s="8" t="s">
        <v>31</v>
      </c>
      <c r="AB289" s="8" t="s">
        <v>157</v>
      </c>
    </row>
    <row r="290" spans="1:28">
      <c r="A290" s="8">
        <v>289</v>
      </c>
      <c r="B290" s="8" t="s">
        <v>1359</v>
      </c>
      <c r="C290" s="8" t="s">
        <v>1347</v>
      </c>
      <c r="D290" s="8" t="s">
        <v>1351</v>
      </c>
      <c r="E290" s="8">
        <v>5</v>
      </c>
      <c r="F290" s="8" t="s">
        <v>92</v>
      </c>
      <c r="G290" s="8">
        <v>1</v>
      </c>
      <c r="H290" s="8" t="s">
        <v>1360</v>
      </c>
      <c r="I290" s="8" t="s">
        <v>267</v>
      </c>
      <c r="J290" s="8" t="s">
        <v>1290</v>
      </c>
      <c r="K290" s="8" t="s">
        <v>1287</v>
      </c>
      <c r="L290" s="8" t="s">
        <v>268</v>
      </c>
      <c r="M290" s="8" t="s">
        <v>269</v>
      </c>
      <c r="N290" s="8" t="s">
        <v>31</v>
      </c>
      <c r="O290" s="8" t="s">
        <v>31</v>
      </c>
      <c r="P290" s="8" t="s">
        <v>31</v>
      </c>
      <c r="Q290" s="9" t="s">
        <v>1361</v>
      </c>
      <c r="R290" s="8" t="s">
        <v>53</v>
      </c>
      <c r="S290" s="10">
        <v>45481</v>
      </c>
      <c r="T290" s="8" t="s">
        <v>1362</v>
      </c>
      <c r="U290" s="8" t="s">
        <v>196</v>
      </c>
      <c r="V290" s="8" t="s">
        <v>155</v>
      </c>
      <c r="W290" s="8" t="s">
        <v>272</v>
      </c>
      <c r="X290" s="8" t="s">
        <v>58</v>
      </c>
      <c r="Y290" s="8" t="s">
        <v>58</v>
      </c>
      <c r="Z290" s="8" t="s">
        <v>31</v>
      </c>
      <c r="AA290" s="8" t="s">
        <v>273</v>
      </c>
    </row>
    <row r="291" spans="1:28">
      <c r="A291" s="8">
        <v>290</v>
      </c>
      <c r="B291" s="8" t="s">
        <v>1363</v>
      </c>
      <c r="C291" s="8" t="s">
        <v>1343</v>
      </c>
      <c r="D291" s="8" t="s">
        <v>1344</v>
      </c>
      <c r="E291" s="8">
        <v>4</v>
      </c>
      <c r="F291" s="8" t="str">
        <f>IF(E291=0,"Overall",IF(E291=1,"Category",IF(E291=2,"Sub-category",IF(E291=3,"Indicator",IF(E291=4,"Sub-indicator", "Sub-sub-indicator")))))</f>
        <v>Sub-indicator</v>
      </c>
      <c r="G291" s="8">
        <v>0</v>
      </c>
      <c r="H291" s="8" t="s">
        <v>1364</v>
      </c>
      <c r="I291" s="8" t="s">
        <v>1365</v>
      </c>
      <c r="J291" s="8" t="str">
        <f>H275</f>
        <v>PUBLIC ADMINISTRATION</v>
      </c>
      <c r="K291" s="8" t="str">
        <f>H274</f>
        <v>FOUNDATIONS FOR ECONOMIC OPPORTUNITY</v>
      </c>
      <c r="L291" s="8" t="s">
        <v>33</v>
      </c>
      <c r="M291" s="8" t="s">
        <v>31</v>
      </c>
      <c r="N291" s="8" t="s">
        <v>31</v>
      </c>
      <c r="O291" s="8" t="s">
        <v>31</v>
      </c>
      <c r="P291" s="8" t="s">
        <v>31</v>
      </c>
      <c r="Q291" s="9" t="s">
        <v>1366</v>
      </c>
      <c r="R291" s="8" t="s">
        <v>31</v>
      </c>
      <c r="S291" s="10" t="s">
        <v>31</v>
      </c>
      <c r="T291" s="8" t="s">
        <v>31</v>
      </c>
      <c r="U291" s="8" t="s">
        <v>31</v>
      </c>
      <c r="V291" s="8" t="s">
        <v>31</v>
      </c>
      <c r="W291" s="8" t="s">
        <v>31</v>
      </c>
      <c r="X291" s="8" t="s">
        <v>31</v>
      </c>
      <c r="Y291" s="8" t="s">
        <v>31</v>
      </c>
      <c r="Z291" s="8" t="s">
        <v>31</v>
      </c>
    </row>
    <row r="292" spans="1:28">
      <c r="A292" s="8">
        <v>291</v>
      </c>
      <c r="B292" s="8" t="s">
        <v>1367</v>
      </c>
      <c r="C292" s="8" t="s">
        <v>1363</v>
      </c>
      <c r="D292" s="8" t="s">
        <v>1364</v>
      </c>
      <c r="E292" s="8">
        <v>5</v>
      </c>
      <c r="F292" s="8" t="str">
        <f>IF(E292=0,"Overall",IF(E292=1,"Category",IF(E292=2,"Sub-category",IF(E292=3,"Indicator",IF(E292=4,"Sub-indicator", "Sub-sub-indicator")))))</f>
        <v>Sub-sub-indicator</v>
      </c>
      <c r="G292" s="8">
        <v>1</v>
      </c>
      <c r="H292" s="8" t="s">
        <v>1364</v>
      </c>
      <c r="I292" s="8" t="s">
        <v>1368</v>
      </c>
      <c r="J292" s="8" t="str">
        <f>$H$275</f>
        <v>PUBLIC ADMINISTRATION</v>
      </c>
      <c r="K292" s="8" t="str">
        <f>H274</f>
        <v>FOUNDATIONS FOR ECONOMIC OPPORTUNITY</v>
      </c>
      <c r="L292" s="8" t="s">
        <v>1369</v>
      </c>
      <c r="M292" s="8" t="s">
        <v>1370</v>
      </c>
      <c r="N292" s="8" t="s">
        <v>31</v>
      </c>
      <c r="O292" s="8" t="s">
        <v>31</v>
      </c>
      <c r="P292" s="8" t="s">
        <v>31</v>
      </c>
      <c r="Q292" s="9" t="s">
        <v>1371</v>
      </c>
      <c r="R292" s="8" t="s">
        <v>1372</v>
      </c>
      <c r="S292" s="10">
        <v>45454</v>
      </c>
      <c r="T292" s="8" t="s">
        <v>1364</v>
      </c>
      <c r="U292" s="8" t="s">
        <v>1373</v>
      </c>
      <c r="V292" s="8" t="s">
        <v>155</v>
      </c>
      <c r="W292" s="8" t="s">
        <v>1374</v>
      </c>
      <c r="X292" s="8" t="s">
        <v>58</v>
      </c>
      <c r="Y292" s="8" t="s">
        <v>58</v>
      </c>
      <c r="Z292" s="8" t="s">
        <v>31</v>
      </c>
      <c r="AA292" s="8" t="s">
        <v>1375</v>
      </c>
    </row>
    <row r="293" spans="1:28">
      <c r="A293" s="8">
        <v>292</v>
      </c>
      <c r="B293" s="8" t="s">
        <v>1376</v>
      </c>
      <c r="C293" s="8" t="s">
        <v>1363</v>
      </c>
      <c r="D293" s="8" t="s">
        <v>1364</v>
      </c>
      <c r="E293" s="8">
        <v>5</v>
      </c>
      <c r="F293" s="8" t="str">
        <f>IF(E293=0,"Overall",IF(E293=1,"Category",IF(E293=2,"Sub-category",IF(E293=3,"Indicator",IF(E293=4,"Sub-indicator", "Sub-sub-indicator")))))</f>
        <v>Sub-sub-indicator</v>
      </c>
      <c r="G293" s="8">
        <v>1</v>
      </c>
      <c r="H293" s="8" t="s">
        <v>1364</v>
      </c>
      <c r="I293" s="8" t="s">
        <v>719</v>
      </c>
      <c r="J293" s="8" t="str">
        <f>$H$275</f>
        <v>PUBLIC ADMINISTRATION</v>
      </c>
      <c r="K293" s="8" t="str">
        <f>H274</f>
        <v>FOUNDATIONS FOR ECONOMIC OPPORTUNITY</v>
      </c>
      <c r="L293" s="8" t="s">
        <v>720</v>
      </c>
      <c r="M293" s="8" t="s">
        <v>1377</v>
      </c>
      <c r="N293" s="8" t="s">
        <v>31</v>
      </c>
      <c r="O293" s="8" t="s">
        <v>31</v>
      </c>
      <c r="P293" s="8" t="s">
        <v>31</v>
      </c>
      <c r="Q293" s="9" t="s">
        <v>1378</v>
      </c>
      <c r="R293" s="8" t="s">
        <v>97</v>
      </c>
      <c r="S293" s="10">
        <v>45454</v>
      </c>
      <c r="T293" s="8" t="s">
        <v>1379</v>
      </c>
      <c r="U293" s="8" t="s">
        <v>1373</v>
      </c>
      <c r="V293" s="8" t="s">
        <v>155</v>
      </c>
      <c r="W293" s="8" t="s">
        <v>1380</v>
      </c>
      <c r="X293" s="8" t="s">
        <v>1381</v>
      </c>
      <c r="Y293" s="8" t="s">
        <v>58</v>
      </c>
      <c r="Z293" s="8" t="s">
        <v>31</v>
      </c>
    </row>
    <row r="294" spans="1:28">
      <c r="A294" s="8">
        <v>293</v>
      </c>
      <c r="B294" s="8" t="s">
        <v>1382</v>
      </c>
      <c r="C294" s="8" t="s">
        <v>1289</v>
      </c>
      <c r="D294" s="8" t="s">
        <v>1290</v>
      </c>
      <c r="E294" s="12">
        <v>3</v>
      </c>
      <c r="F294" s="12" t="str">
        <f t="shared" ref="F294:F301" si="28">IF(E294=0,"Overall",IF(E294=1,"Category",IF(E294=2,"Sub-category",IF(E294=3,"Indicator",IF(E294=4,"Sub-indicator", "Sub-sub-indicator")))))</f>
        <v>Indicator</v>
      </c>
      <c r="G294" s="8">
        <v>0</v>
      </c>
      <c r="H294" s="12" t="s">
        <v>1383</v>
      </c>
      <c r="I294" s="8" t="s">
        <v>1384</v>
      </c>
      <c r="J294" s="8" t="str">
        <f t="shared" si="26"/>
        <v>PUBLIC ADMINISTRATION</v>
      </c>
      <c r="K294" s="8" t="str">
        <f t="shared" si="27"/>
        <v>FOUNDATIONS FOR ECONOMIC OPPORTUNITY</v>
      </c>
      <c r="L294" s="8" t="s">
        <v>33</v>
      </c>
      <c r="M294" s="8" t="s">
        <v>31</v>
      </c>
      <c r="N294" s="8" t="s">
        <v>31</v>
      </c>
      <c r="O294" s="8" t="s">
        <v>31</v>
      </c>
      <c r="P294" s="8" t="s">
        <v>31</v>
      </c>
      <c r="Q294" s="9" t="s">
        <v>1385</v>
      </c>
      <c r="R294" s="8" t="s">
        <v>31</v>
      </c>
      <c r="S294" s="10" t="s">
        <v>31</v>
      </c>
      <c r="T294" s="8" t="s">
        <v>31</v>
      </c>
      <c r="U294" s="8" t="s">
        <v>31</v>
      </c>
      <c r="V294" s="8" t="s">
        <v>31</v>
      </c>
      <c r="W294" s="8" t="s">
        <v>31</v>
      </c>
      <c r="X294" s="8" t="s">
        <v>31</v>
      </c>
      <c r="Y294" s="8" t="s">
        <v>31</v>
      </c>
      <c r="Z294" s="8" t="s">
        <v>31</v>
      </c>
    </row>
    <row r="295" spans="1:28">
      <c r="A295" s="8">
        <v>294</v>
      </c>
      <c r="B295" s="8" t="s">
        <v>1386</v>
      </c>
      <c r="C295" s="8" t="s">
        <v>1382</v>
      </c>
      <c r="D295" s="8" t="s">
        <v>1383</v>
      </c>
      <c r="E295" s="21">
        <v>4</v>
      </c>
      <c r="F295" s="8" t="str">
        <f t="shared" si="28"/>
        <v>Sub-indicator</v>
      </c>
      <c r="G295" s="8">
        <v>1</v>
      </c>
      <c r="H295" s="8" t="s">
        <v>1387</v>
      </c>
      <c r="I295" s="8" t="s">
        <v>1388</v>
      </c>
      <c r="J295" s="8" t="str">
        <f t="shared" si="26"/>
        <v>PUBLIC ADMINISTRATION</v>
      </c>
      <c r="K295" s="8" t="str">
        <f t="shared" si="27"/>
        <v>FOUNDATIONS FOR ECONOMIC OPPORTUNITY</v>
      </c>
      <c r="L295" s="8" t="s">
        <v>1389</v>
      </c>
      <c r="M295" s="8" t="s">
        <v>1390</v>
      </c>
      <c r="N295" s="8" t="s">
        <v>31</v>
      </c>
      <c r="O295" s="8" t="s">
        <v>31</v>
      </c>
      <c r="P295" s="8" t="s">
        <v>31</v>
      </c>
      <c r="Q295" s="9" t="s">
        <v>1391</v>
      </c>
      <c r="R295" s="8" t="s">
        <v>97</v>
      </c>
      <c r="S295" s="10">
        <v>45447</v>
      </c>
      <c r="T295" s="8" t="s">
        <v>1392</v>
      </c>
      <c r="U295" s="8" t="s">
        <v>196</v>
      </c>
      <c r="V295" s="8" t="s">
        <v>155</v>
      </c>
      <c r="W295" s="8" t="s">
        <v>1393</v>
      </c>
      <c r="X295" s="8" t="s">
        <v>1394</v>
      </c>
      <c r="Y295" s="8" t="s">
        <v>1395</v>
      </c>
      <c r="Z295" s="8" t="s">
        <v>31</v>
      </c>
    </row>
    <row r="296" spans="1:28">
      <c r="A296" s="8">
        <v>295</v>
      </c>
      <c r="B296" s="8" t="s">
        <v>1396</v>
      </c>
      <c r="C296" s="8" t="s">
        <v>1382</v>
      </c>
      <c r="D296" s="8" t="s">
        <v>1383</v>
      </c>
      <c r="E296" s="8">
        <v>4</v>
      </c>
      <c r="F296" s="8" t="str">
        <f t="shared" si="28"/>
        <v>Sub-indicator</v>
      </c>
      <c r="G296" s="8">
        <v>0</v>
      </c>
      <c r="H296" s="8" t="s">
        <v>1397</v>
      </c>
      <c r="I296" s="8" t="s">
        <v>1365</v>
      </c>
      <c r="J296" s="8" t="str">
        <f>H275</f>
        <v>PUBLIC ADMINISTRATION</v>
      </c>
      <c r="K296" s="8" t="str">
        <f t="shared" si="27"/>
        <v>FOUNDATIONS FOR ECONOMIC OPPORTUNITY</v>
      </c>
      <c r="L296" s="8" t="s">
        <v>33</v>
      </c>
      <c r="M296" s="8" t="s">
        <v>31</v>
      </c>
      <c r="N296" s="8" t="s">
        <v>31</v>
      </c>
      <c r="O296" s="8" t="s">
        <v>31</v>
      </c>
      <c r="P296" s="8" t="s">
        <v>31</v>
      </c>
      <c r="Q296" s="9" t="s">
        <v>1398</v>
      </c>
      <c r="R296" s="8" t="s">
        <v>31</v>
      </c>
      <c r="S296" s="10" t="s">
        <v>31</v>
      </c>
      <c r="T296" s="8" t="s">
        <v>31</v>
      </c>
      <c r="U296" s="8" t="s">
        <v>31</v>
      </c>
      <c r="V296" s="8" t="s">
        <v>31</v>
      </c>
      <c r="W296" s="8" t="s">
        <v>31</v>
      </c>
      <c r="X296" s="8" t="s">
        <v>31</v>
      </c>
      <c r="Y296" s="8" t="s">
        <v>31</v>
      </c>
      <c r="Z296" s="8" t="s">
        <v>31</v>
      </c>
    </row>
    <row r="297" spans="1:28">
      <c r="A297" s="8">
        <v>296</v>
      </c>
      <c r="B297" s="8" t="s">
        <v>1399</v>
      </c>
      <c r="C297" s="8" t="s">
        <v>1396</v>
      </c>
      <c r="D297" s="8" t="s">
        <v>1397</v>
      </c>
      <c r="E297" s="8">
        <v>5</v>
      </c>
      <c r="F297" s="8" t="str">
        <f t="shared" si="28"/>
        <v>Sub-sub-indicator</v>
      </c>
      <c r="G297" s="8">
        <v>1</v>
      </c>
      <c r="H297" s="8" t="s">
        <v>1397</v>
      </c>
      <c r="I297" s="8" t="s">
        <v>1368</v>
      </c>
      <c r="J297" s="8" t="str">
        <f>$H$275</f>
        <v>PUBLIC ADMINISTRATION</v>
      </c>
      <c r="K297" s="8" t="str">
        <f t="shared" si="27"/>
        <v>FOUNDATIONS FOR ECONOMIC OPPORTUNITY</v>
      </c>
      <c r="L297" s="8" t="s">
        <v>1369</v>
      </c>
      <c r="M297" s="8" t="s">
        <v>1370</v>
      </c>
      <c r="N297" s="8" t="s">
        <v>31</v>
      </c>
      <c r="O297" s="8" t="s">
        <v>31</v>
      </c>
      <c r="P297" s="8" t="s">
        <v>31</v>
      </c>
      <c r="Q297" s="9" t="s">
        <v>1400</v>
      </c>
      <c r="R297" s="8" t="s">
        <v>1372</v>
      </c>
      <c r="S297" s="10">
        <v>45454</v>
      </c>
      <c r="T297" s="8" t="s">
        <v>1401</v>
      </c>
      <c r="U297" s="8" t="s">
        <v>1373</v>
      </c>
      <c r="V297" s="8" t="s">
        <v>155</v>
      </c>
      <c r="W297" s="8" t="s">
        <v>1374</v>
      </c>
      <c r="X297" s="8" t="s">
        <v>58</v>
      </c>
      <c r="Y297" s="8" t="s">
        <v>58</v>
      </c>
      <c r="Z297" s="8" t="s">
        <v>31</v>
      </c>
      <c r="AA297" s="8" t="s">
        <v>1375</v>
      </c>
    </row>
    <row r="298" spans="1:28">
      <c r="A298" s="8">
        <v>297</v>
      </c>
      <c r="B298" s="8" t="s">
        <v>1402</v>
      </c>
      <c r="C298" s="8" t="s">
        <v>1396</v>
      </c>
      <c r="D298" s="8" t="s">
        <v>1397</v>
      </c>
      <c r="E298" s="8">
        <v>5</v>
      </c>
      <c r="F298" s="8" t="str">
        <f t="shared" si="28"/>
        <v>Sub-sub-indicator</v>
      </c>
      <c r="G298" s="8">
        <v>1</v>
      </c>
      <c r="H298" s="8" t="s">
        <v>1403</v>
      </c>
      <c r="I298" s="8" t="s">
        <v>719</v>
      </c>
      <c r="J298" s="8" t="str">
        <f>$H$275</f>
        <v>PUBLIC ADMINISTRATION</v>
      </c>
      <c r="K298" s="8" t="str">
        <f t="shared" si="27"/>
        <v>FOUNDATIONS FOR ECONOMIC OPPORTUNITY</v>
      </c>
      <c r="L298" s="8" t="s">
        <v>720</v>
      </c>
      <c r="M298" s="8" t="s">
        <v>1377</v>
      </c>
      <c r="N298" s="8" t="s">
        <v>31</v>
      </c>
      <c r="O298" s="8" t="s">
        <v>31</v>
      </c>
      <c r="P298" s="8" t="s">
        <v>31</v>
      </c>
      <c r="Q298" s="9" t="s">
        <v>1404</v>
      </c>
      <c r="R298" s="8" t="s">
        <v>97</v>
      </c>
      <c r="S298" s="10">
        <v>45454</v>
      </c>
      <c r="T298" s="8" t="s">
        <v>1405</v>
      </c>
      <c r="U298" s="8" t="s">
        <v>1373</v>
      </c>
      <c r="V298" s="8" t="s">
        <v>155</v>
      </c>
      <c r="W298" s="8" t="s">
        <v>1380</v>
      </c>
      <c r="X298" s="8" t="s">
        <v>1381</v>
      </c>
      <c r="Y298" s="8" t="s">
        <v>58</v>
      </c>
      <c r="Z298" s="8" t="s">
        <v>31</v>
      </c>
    </row>
    <row r="299" spans="1:28">
      <c r="A299" s="8">
        <v>298</v>
      </c>
      <c r="B299" s="8" t="s">
        <v>1406</v>
      </c>
      <c r="C299" s="8" t="s">
        <v>1289</v>
      </c>
      <c r="D299" s="8" t="s">
        <v>1290</v>
      </c>
      <c r="E299" s="12">
        <v>3</v>
      </c>
      <c r="F299" s="12" t="str">
        <f t="shared" si="28"/>
        <v>Indicator</v>
      </c>
      <c r="G299" s="8">
        <v>0</v>
      </c>
      <c r="H299" s="12" t="s">
        <v>1407</v>
      </c>
      <c r="I299" s="8" t="s">
        <v>1365</v>
      </c>
      <c r="J299" s="8" t="str">
        <f>H275</f>
        <v>PUBLIC ADMINISTRATION</v>
      </c>
      <c r="K299" s="8" t="str">
        <f>H274</f>
        <v>FOUNDATIONS FOR ECONOMIC OPPORTUNITY</v>
      </c>
      <c r="L299" s="8" t="s">
        <v>33</v>
      </c>
      <c r="M299" s="8" t="s">
        <v>31</v>
      </c>
      <c r="N299" s="8" t="s">
        <v>31</v>
      </c>
      <c r="O299" s="8" t="s">
        <v>31</v>
      </c>
      <c r="P299" s="8" t="s">
        <v>31</v>
      </c>
      <c r="Q299" s="9" t="s">
        <v>1408</v>
      </c>
      <c r="R299" s="8" t="s">
        <v>31</v>
      </c>
      <c r="S299" s="10" t="s">
        <v>31</v>
      </c>
      <c r="T299" s="8" t="s">
        <v>31</v>
      </c>
      <c r="U299" s="8" t="s">
        <v>31</v>
      </c>
      <c r="V299" s="8" t="s">
        <v>31</v>
      </c>
      <c r="W299" s="8" t="s">
        <v>31</v>
      </c>
      <c r="X299" s="8" t="s">
        <v>31</v>
      </c>
      <c r="Y299" s="8" t="s">
        <v>31</v>
      </c>
      <c r="Z299" s="8" t="s">
        <v>31</v>
      </c>
    </row>
    <row r="300" spans="1:28">
      <c r="A300" s="8">
        <v>299</v>
      </c>
      <c r="B300" s="8" t="s">
        <v>1409</v>
      </c>
      <c r="C300" s="8" t="s">
        <v>1406</v>
      </c>
      <c r="D300" s="8" t="s">
        <v>1407</v>
      </c>
      <c r="E300" s="8">
        <v>4</v>
      </c>
      <c r="F300" s="8" t="str">
        <f t="shared" si="28"/>
        <v>Sub-indicator</v>
      </c>
      <c r="G300" s="8">
        <v>1</v>
      </c>
      <c r="H300" s="8" t="s">
        <v>1410</v>
      </c>
      <c r="I300" s="8" t="s">
        <v>1368</v>
      </c>
      <c r="J300" s="8" t="str">
        <f>$H$275</f>
        <v>PUBLIC ADMINISTRATION</v>
      </c>
      <c r="K300" s="8" t="str">
        <f>$H$274</f>
        <v>FOUNDATIONS FOR ECONOMIC OPPORTUNITY</v>
      </c>
      <c r="L300" s="8" t="s">
        <v>1369</v>
      </c>
      <c r="M300" s="8" t="s">
        <v>1370</v>
      </c>
      <c r="N300" s="8" t="s">
        <v>31</v>
      </c>
      <c r="O300" s="8" t="s">
        <v>31</v>
      </c>
      <c r="P300" s="8" t="s">
        <v>31</v>
      </c>
      <c r="Q300" s="9" t="s">
        <v>1411</v>
      </c>
      <c r="R300" s="8" t="s">
        <v>1372</v>
      </c>
      <c r="S300" s="10">
        <v>45454</v>
      </c>
      <c r="T300" s="8" t="s">
        <v>1412</v>
      </c>
      <c r="U300" s="8" t="s">
        <v>1373</v>
      </c>
      <c r="V300" s="8" t="s">
        <v>155</v>
      </c>
      <c r="W300" s="8" t="s">
        <v>1374</v>
      </c>
      <c r="X300" s="8" t="s">
        <v>58</v>
      </c>
      <c r="Y300" s="8" t="s">
        <v>58</v>
      </c>
      <c r="Z300" s="8" t="s">
        <v>31</v>
      </c>
      <c r="AA300" s="8" t="s">
        <v>1375</v>
      </c>
    </row>
    <row r="301" spans="1:28">
      <c r="A301" s="8">
        <v>300</v>
      </c>
      <c r="B301" s="8" t="s">
        <v>1413</v>
      </c>
      <c r="C301" s="8" t="s">
        <v>1406</v>
      </c>
      <c r="D301" s="8" t="s">
        <v>1407</v>
      </c>
      <c r="E301" s="8">
        <v>4</v>
      </c>
      <c r="F301" s="8" t="str">
        <f t="shared" si="28"/>
        <v>Sub-indicator</v>
      </c>
      <c r="G301" s="8">
        <v>1</v>
      </c>
      <c r="H301" s="8" t="s">
        <v>1407</v>
      </c>
      <c r="I301" s="8" t="s">
        <v>719</v>
      </c>
      <c r="J301" s="8" t="str">
        <f>$H$275</f>
        <v>PUBLIC ADMINISTRATION</v>
      </c>
      <c r="K301" s="8" t="str">
        <f>$H$274</f>
        <v>FOUNDATIONS FOR ECONOMIC OPPORTUNITY</v>
      </c>
      <c r="L301" s="8" t="s">
        <v>720</v>
      </c>
      <c r="M301" s="8" t="s">
        <v>1377</v>
      </c>
      <c r="N301" s="8" t="s">
        <v>31</v>
      </c>
      <c r="O301" s="8" t="s">
        <v>31</v>
      </c>
      <c r="P301" s="8" t="s">
        <v>31</v>
      </c>
      <c r="Q301" s="9" t="s">
        <v>1414</v>
      </c>
      <c r="R301" s="8" t="s">
        <v>97</v>
      </c>
      <c r="S301" s="10">
        <v>45454</v>
      </c>
      <c r="T301" s="8" t="s">
        <v>1415</v>
      </c>
      <c r="U301" s="8" t="s">
        <v>1373</v>
      </c>
      <c r="V301" s="8" t="s">
        <v>155</v>
      </c>
      <c r="W301" s="8" t="s">
        <v>1380</v>
      </c>
      <c r="X301" s="8" t="s">
        <v>1381</v>
      </c>
      <c r="Y301" s="8" t="s">
        <v>58</v>
      </c>
      <c r="Z301" s="8" t="s">
        <v>31</v>
      </c>
    </row>
    <row r="302" spans="1:28">
      <c r="A302" s="8">
        <v>301</v>
      </c>
      <c r="B302" s="8" t="s">
        <v>1416</v>
      </c>
      <c r="C302" s="8" t="s">
        <v>1289</v>
      </c>
      <c r="D302" s="8" t="s">
        <v>1287</v>
      </c>
      <c r="E302" s="12">
        <v>3</v>
      </c>
      <c r="F302" s="12" t="s">
        <v>186</v>
      </c>
      <c r="G302" s="8">
        <v>1</v>
      </c>
      <c r="H302" s="12" t="s">
        <v>1417</v>
      </c>
      <c r="I302" s="8" t="s">
        <v>188</v>
      </c>
      <c r="J302" s="8" t="str">
        <f>$H$275</f>
        <v>PUBLIC ADMINISTRATION</v>
      </c>
      <c r="K302" s="8" t="str">
        <f>H275</f>
        <v>PUBLIC ADMINISTRATION</v>
      </c>
      <c r="L302" s="8" t="s">
        <v>192</v>
      </c>
      <c r="M302" s="8" t="s">
        <v>193</v>
      </c>
      <c r="N302" s="8" t="s">
        <v>31</v>
      </c>
      <c r="O302" s="8" t="s">
        <v>31</v>
      </c>
      <c r="P302" s="8" t="s">
        <v>31</v>
      </c>
      <c r="Q302" s="9" t="s">
        <v>1418</v>
      </c>
      <c r="R302" s="8" t="s">
        <v>53</v>
      </c>
      <c r="S302" s="10">
        <v>45498</v>
      </c>
      <c r="T302" s="8" t="s">
        <v>1419</v>
      </c>
      <c r="U302" s="8" t="s">
        <v>196</v>
      </c>
      <c r="V302" s="8" t="s">
        <v>197</v>
      </c>
      <c r="W302" s="8" t="s">
        <v>198</v>
      </c>
      <c r="X302" s="8" t="s">
        <v>748</v>
      </c>
      <c r="Y302" s="8" t="s">
        <v>749</v>
      </c>
      <c r="Z302" s="8" t="s">
        <v>31</v>
      </c>
      <c r="AA302" s="8" t="s">
        <v>201</v>
      </c>
      <c r="AB302" s="8" t="s">
        <v>202</v>
      </c>
    </row>
    <row r="303" spans="1:28" s="6" customFormat="1">
      <c r="A303" s="6">
        <v>302</v>
      </c>
      <c r="B303" s="6" t="s">
        <v>1420</v>
      </c>
      <c r="C303" s="6" t="s">
        <v>1286</v>
      </c>
      <c r="D303" s="6" t="s">
        <v>1287</v>
      </c>
      <c r="E303" s="6">
        <v>2</v>
      </c>
      <c r="F303" s="6" t="str">
        <f>IF(E303=0,"Overall",IF(E303=1,"Category",IF(E303=2,"Sub-category",IF(E303=3,"Indicator",IF(E303=4,"Sub-indicator", "Sub-sub-indicator")))))</f>
        <v>Sub-category</v>
      </c>
      <c r="G303" s="6">
        <v>0</v>
      </c>
      <c r="H303" s="6" t="s">
        <v>1421</v>
      </c>
      <c r="I303" s="6" t="s">
        <v>31</v>
      </c>
      <c r="J303" s="6" t="s">
        <v>31</v>
      </c>
      <c r="K303" s="6" t="str">
        <f>H274</f>
        <v>FOUNDATIONS FOR ECONOMIC OPPORTUNITY</v>
      </c>
      <c r="L303" s="6" t="s">
        <v>33</v>
      </c>
      <c r="M303" s="6" t="s">
        <v>31</v>
      </c>
      <c r="N303" s="6" t="s">
        <v>31</v>
      </c>
      <c r="O303" s="6" t="s">
        <v>31</v>
      </c>
      <c r="P303" s="6" t="s">
        <v>31</v>
      </c>
      <c r="Q303" s="24" t="s">
        <v>1422</v>
      </c>
      <c r="R303" s="6" t="s">
        <v>31</v>
      </c>
      <c r="S303" s="6" t="s">
        <v>31</v>
      </c>
      <c r="T303" s="6" t="s">
        <v>31</v>
      </c>
      <c r="U303" s="6" t="s">
        <v>31</v>
      </c>
      <c r="V303" s="6" t="s">
        <v>31</v>
      </c>
      <c r="W303" s="6" t="s">
        <v>31</v>
      </c>
      <c r="X303" s="6" t="s">
        <v>31</v>
      </c>
      <c r="Y303" s="6" t="s">
        <v>31</v>
      </c>
      <c r="Z303" s="6" t="s">
        <v>31</v>
      </c>
    </row>
    <row r="304" spans="1:28">
      <c r="A304" s="8">
        <v>303</v>
      </c>
      <c r="B304" s="8" t="s">
        <v>1423</v>
      </c>
      <c r="C304" s="8" t="s">
        <v>1420</v>
      </c>
      <c r="D304" s="8" t="s">
        <v>1421</v>
      </c>
      <c r="E304" s="12">
        <v>3</v>
      </c>
      <c r="F304" s="12" t="str">
        <f>IF(E304=0,"Overall",IF(E304=1,"Category",IF(E304=2,"Sub-category",IF(E304=3,"Indicator",IF(E304=4,"Sub-indicator", "Sub-sub-indicator")))))</f>
        <v>Indicator</v>
      </c>
      <c r="G304" s="8">
        <v>0</v>
      </c>
      <c r="H304" s="12" t="s">
        <v>1424</v>
      </c>
      <c r="I304" s="8" t="s">
        <v>1425</v>
      </c>
      <c r="J304" s="8" t="str">
        <f>$H$303</f>
        <v>BUSINESS &amp; LABOUR ENVIRONMENT</v>
      </c>
      <c r="K304" s="8" t="str">
        <f>$H$274</f>
        <v>FOUNDATIONS FOR ECONOMIC OPPORTUNITY</v>
      </c>
      <c r="L304" s="8" t="s">
        <v>161</v>
      </c>
      <c r="M304" s="8" t="s">
        <v>31</v>
      </c>
      <c r="N304" s="8" t="s">
        <v>31</v>
      </c>
      <c r="O304" s="8" t="s">
        <v>31</v>
      </c>
      <c r="P304" s="8" t="s">
        <v>31</v>
      </c>
      <c r="Q304" s="9" t="s">
        <v>1426</v>
      </c>
      <c r="R304" s="8" t="s">
        <v>31</v>
      </c>
      <c r="S304" s="10" t="s">
        <v>31</v>
      </c>
      <c r="T304" s="8" t="s">
        <v>31</v>
      </c>
      <c r="U304" s="14" t="s">
        <v>31</v>
      </c>
      <c r="V304" s="8" t="s">
        <v>31</v>
      </c>
      <c r="W304" s="8" t="s">
        <v>31</v>
      </c>
      <c r="X304" s="8" t="s">
        <v>31</v>
      </c>
      <c r="Y304" s="8" t="s">
        <v>31</v>
      </c>
      <c r="Z304" s="8" t="s">
        <v>31</v>
      </c>
    </row>
    <row r="305" spans="1:28">
      <c r="A305" s="8">
        <v>304</v>
      </c>
      <c r="B305" s="8" t="s">
        <v>1427</v>
      </c>
      <c r="C305" s="8" t="s">
        <v>1423</v>
      </c>
      <c r="D305" s="8" t="s">
        <v>1424</v>
      </c>
      <c r="E305" s="8">
        <v>4</v>
      </c>
      <c r="F305" s="8" t="s">
        <v>136</v>
      </c>
      <c r="G305" s="8">
        <v>1</v>
      </c>
      <c r="H305" s="8" t="s">
        <v>1428</v>
      </c>
      <c r="I305" s="8" t="s">
        <v>1368</v>
      </c>
      <c r="J305" s="8" t="str">
        <f>$H$303</f>
        <v>BUSINESS &amp; LABOUR ENVIRONMENT</v>
      </c>
      <c r="K305" s="8" t="str">
        <f>$H$274</f>
        <v>FOUNDATIONS FOR ECONOMIC OPPORTUNITY</v>
      </c>
      <c r="L305" s="8" t="s">
        <v>1369</v>
      </c>
      <c r="M305" s="8" t="s">
        <v>1370</v>
      </c>
      <c r="N305" s="8" t="s">
        <v>31</v>
      </c>
      <c r="O305" s="8" t="s">
        <v>31</v>
      </c>
      <c r="P305" s="8" t="s">
        <v>31</v>
      </c>
      <c r="Q305" s="9" t="s">
        <v>1429</v>
      </c>
      <c r="R305" s="8" t="s">
        <v>1372</v>
      </c>
      <c r="S305" s="10">
        <v>45454</v>
      </c>
      <c r="T305" s="8" t="s">
        <v>1424</v>
      </c>
      <c r="U305" s="11" t="s">
        <v>1373</v>
      </c>
      <c r="V305" s="8" t="s">
        <v>155</v>
      </c>
      <c r="W305" s="8" t="s">
        <v>1374</v>
      </c>
      <c r="X305" s="8" t="s">
        <v>58</v>
      </c>
      <c r="Y305" s="8" t="s">
        <v>58</v>
      </c>
      <c r="Z305" s="8" t="s">
        <v>31</v>
      </c>
      <c r="AA305" s="8" t="s">
        <v>1375</v>
      </c>
    </row>
    <row r="306" spans="1:28">
      <c r="A306" s="8">
        <v>305</v>
      </c>
      <c r="B306" s="8" t="s">
        <v>1430</v>
      </c>
      <c r="C306" s="8" t="s">
        <v>1423</v>
      </c>
      <c r="D306" s="8" t="s">
        <v>1424</v>
      </c>
      <c r="E306" s="8">
        <v>4</v>
      </c>
      <c r="F306" s="8" t="s">
        <v>136</v>
      </c>
      <c r="G306" s="8">
        <v>1</v>
      </c>
      <c r="H306" s="8" t="s">
        <v>1431</v>
      </c>
      <c r="I306" s="8" t="s">
        <v>1432</v>
      </c>
      <c r="J306" s="8" t="str">
        <f>$H$303</f>
        <v>BUSINESS &amp; LABOUR ENVIRONMENT</v>
      </c>
      <c r="K306" s="8" t="str">
        <f>$H$274</f>
        <v>FOUNDATIONS FOR ECONOMIC OPPORTUNITY</v>
      </c>
      <c r="L306" s="8" t="s">
        <v>1433</v>
      </c>
      <c r="M306" s="8" t="s">
        <v>1434</v>
      </c>
      <c r="N306" s="8" t="s">
        <v>1435</v>
      </c>
      <c r="O306" s="8" t="s">
        <v>31</v>
      </c>
      <c r="P306" s="8" t="s">
        <v>31</v>
      </c>
      <c r="Q306" s="9" t="s">
        <v>1436</v>
      </c>
      <c r="R306" s="8" t="s">
        <v>97</v>
      </c>
      <c r="S306" s="10">
        <v>45462</v>
      </c>
      <c r="T306" s="8" t="s">
        <v>1437</v>
      </c>
      <c r="U306" s="14" t="s">
        <v>196</v>
      </c>
      <c r="V306" s="8" t="s">
        <v>155</v>
      </c>
      <c r="W306" s="8" t="s">
        <v>1438</v>
      </c>
      <c r="X306" s="8" t="s">
        <v>58</v>
      </c>
      <c r="Y306" s="8" t="s">
        <v>58</v>
      </c>
      <c r="Z306" s="8" t="s">
        <v>31</v>
      </c>
      <c r="AA306" s="8" t="s">
        <v>1439</v>
      </c>
    </row>
    <row r="307" spans="1:28">
      <c r="A307" s="8">
        <v>306</v>
      </c>
      <c r="B307" s="8" t="s">
        <v>1440</v>
      </c>
      <c r="C307" s="8" t="s">
        <v>1423</v>
      </c>
      <c r="D307" s="8" t="s">
        <v>1424</v>
      </c>
      <c r="E307" s="8">
        <v>4</v>
      </c>
      <c r="F307" s="8" t="s">
        <v>136</v>
      </c>
      <c r="G307" s="8">
        <v>1</v>
      </c>
      <c r="H307" s="8" t="s">
        <v>1441</v>
      </c>
      <c r="I307" s="8" t="s">
        <v>1442</v>
      </c>
      <c r="J307" s="8" t="str">
        <f>$H$303</f>
        <v>BUSINESS &amp; LABOUR ENVIRONMENT</v>
      </c>
      <c r="K307" s="8" t="str">
        <f>$H$274</f>
        <v>FOUNDATIONS FOR ECONOMIC OPPORTUNITY</v>
      </c>
      <c r="L307" s="8" t="s">
        <v>1443</v>
      </c>
      <c r="M307" s="8" t="s">
        <v>1444</v>
      </c>
      <c r="N307" s="8" t="s">
        <v>31</v>
      </c>
      <c r="O307" s="8" t="s">
        <v>31</v>
      </c>
      <c r="P307" s="8" t="s">
        <v>31</v>
      </c>
      <c r="Q307" s="9" t="s">
        <v>1445</v>
      </c>
      <c r="R307" s="8" t="s">
        <v>1336</v>
      </c>
      <c r="S307" s="10">
        <v>45455</v>
      </c>
      <c r="T307" s="8" t="s">
        <v>1446</v>
      </c>
      <c r="U307" s="14" t="s">
        <v>154</v>
      </c>
      <c r="V307" s="8" t="s">
        <v>155</v>
      </c>
      <c r="W307" s="8" t="s">
        <v>1447</v>
      </c>
      <c r="X307" s="8" t="s">
        <v>58</v>
      </c>
      <c r="Y307" s="8" t="s">
        <v>58</v>
      </c>
      <c r="Z307" s="8" t="s">
        <v>31</v>
      </c>
      <c r="AA307" s="8" t="s">
        <v>1448</v>
      </c>
    </row>
    <row r="308" spans="1:28">
      <c r="A308" s="8">
        <v>307</v>
      </c>
      <c r="B308" s="8" t="s">
        <v>1449</v>
      </c>
      <c r="C308" s="8" t="s">
        <v>1420</v>
      </c>
      <c r="D308" s="8" t="s">
        <v>1421</v>
      </c>
      <c r="E308" s="12">
        <v>3</v>
      </c>
      <c r="F308" s="12" t="s">
        <v>186</v>
      </c>
      <c r="G308" s="8">
        <v>0</v>
      </c>
      <c r="H308" s="12" t="s">
        <v>1450</v>
      </c>
      <c r="I308" s="8" t="s">
        <v>1451</v>
      </c>
      <c r="J308" s="8" t="s">
        <v>1421</v>
      </c>
      <c r="K308" s="8" t="s">
        <v>1287</v>
      </c>
      <c r="L308" s="8" t="s">
        <v>33</v>
      </c>
      <c r="M308" s="8" t="s">
        <v>31</v>
      </c>
      <c r="N308" s="8" t="s">
        <v>31</v>
      </c>
      <c r="O308" s="8" t="s">
        <v>31</v>
      </c>
      <c r="P308" s="8" t="s">
        <v>31</v>
      </c>
      <c r="Q308" s="9" t="s">
        <v>1452</v>
      </c>
      <c r="R308" s="8" t="s">
        <v>31</v>
      </c>
      <c r="S308" s="10" t="s">
        <v>31</v>
      </c>
      <c r="T308" s="8" t="s">
        <v>31</v>
      </c>
      <c r="U308" s="8" t="s">
        <v>31</v>
      </c>
      <c r="V308" s="8" t="s">
        <v>31</v>
      </c>
      <c r="W308" s="8" t="s">
        <v>31</v>
      </c>
      <c r="X308" s="8" t="s">
        <v>31</v>
      </c>
      <c r="Y308" s="8" t="s">
        <v>31</v>
      </c>
      <c r="Z308" s="8" t="s">
        <v>31</v>
      </c>
    </row>
    <row r="309" spans="1:28">
      <c r="A309" s="8">
        <v>308</v>
      </c>
      <c r="B309" s="8" t="s">
        <v>1453</v>
      </c>
      <c r="C309" s="8" t="s">
        <v>1449</v>
      </c>
      <c r="D309" s="8" t="s">
        <v>1450</v>
      </c>
      <c r="E309" s="8">
        <v>4</v>
      </c>
      <c r="F309" s="8" t="s">
        <v>136</v>
      </c>
      <c r="G309" s="8">
        <v>1</v>
      </c>
      <c r="H309" s="8" t="s">
        <v>1454</v>
      </c>
      <c r="I309" s="8" t="s">
        <v>1432</v>
      </c>
      <c r="J309" s="8" t="s">
        <v>1421</v>
      </c>
      <c r="K309" s="8" t="s">
        <v>1287</v>
      </c>
      <c r="L309" s="8" t="s">
        <v>1433</v>
      </c>
      <c r="M309" s="8" t="s">
        <v>1434</v>
      </c>
      <c r="N309" s="8" t="s">
        <v>1455</v>
      </c>
      <c r="O309" s="8" t="s">
        <v>31</v>
      </c>
      <c r="P309" s="8" t="s">
        <v>31</v>
      </c>
      <c r="Q309" s="9" t="s">
        <v>1456</v>
      </c>
      <c r="R309" s="8" t="s">
        <v>97</v>
      </c>
      <c r="S309" s="10">
        <v>45462</v>
      </c>
      <c r="T309" s="8" t="s">
        <v>1457</v>
      </c>
      <c r="U309" s="14" t="s">
        <v>154</v>
      </c>
      <c r="V309" s="8" t="s">
        <v>56</v>
      </c>
      <c r="W309" s="8" t="s">
        <v>1458</v>
      </c>
      <c r="X309" s="8" t="s">
        <v>58</v>
      </c>
      <c r="Y309" s="8" t="s">
        <v>58</v>
      </c>
      <c r="Z309" s="8" t="s">
        <v>31</v>
      </c>
    </row>
    <row r="310" spans="1:28">
      <c r="A310" s="8">
        <v>309</v>
      </c>
      <c r="B310" s="8" t="s">
        <v>1459</v>
      </c>
      <c r="C310" s="8" t="s">
        <v>1449</v>
      </c>
      <c r="D310" s="8" t="s">
        <v>1450</v>
      </c>
      <c r="E310" s="8">
        <v>4</v>
      </c>
      <c r="F310" s="8" t="s">
        <v>136</v>
      </c>
      <c r="G310" s="8">
        <v>1</v>
      </c>
      <c r="H310" s="8" t="s">
        <v>1460</v>
      </c>
      <c r="I310" s="8" t="s">
        <v>1461</v>
      </c>
      <c r="J310" s="8" t="s">
        <v>1421</v>
      </c>
      <c r="K310" s="8" t="s">
        <v>1287</v>
      </c>
      <c r="L310" s="8" t="s">
        <v>1462</v>
      </c>
      <c r="M310" s="8" t="s">
        <v>1463</v>
      </c>
      <c r="N310" s="8" t="s">
        <v>31</v>
      </c>
      <c r="O310" s="8" t="s">
        <v>31</v>
      </c>
      <c r="P310" s="8" t="s">
        <v>31</v>
      </c>
      <c r="Q310" s="9" t="s">
        <v>1464</v>
      </c>
      <c r="R310" s="8" t="s">
        <v>97</v>
      </c>
      <c r="S310" s="10">
        <v>45505</v>
      </c>
      <c r="T310" s="8" t="s">
        <v>1465</v>
      </c>
      <c r="U310" s="14" t="s">
        <v>1466</v>
      </c>
      <c r="V310" s="8" t="s">
        <v>155</v>
      </c>
      <c r="W310" s="8" t="s">
        <v>1467</v>
      </c>
      <c r="X310" s="8" t="s">
        <v>1468</v>
      </c>
      <c r="Y310" s="8" t="s">
        <v>1469</v>
      </c>
      <c r="Z310" s="8" t="s">
        <v>31</v>
      </c>
    </row>
    <row r="311" spans="1:28">
      <c r="A311" s="8">
        <v>310</v>
      </c>
      <c r="B311" s="8" t="s">
        <v>1470</v>
      </c>
      <c r="C311" s="8" t="s">
        <v>1420</v>
      </c>
      <c r="D311" s="8" t="s">
        <v>1421</v>
      </c>
      <c r="E311" s="12">
        <v>3</v>
      </c>
      <c r="F311" s="12" t="str">
        <f t="shared" ref="F311:F316" si="29">IF(E311=0,"Overall",IF(E311=1,"Category",IF(E311=2,"Sub-category",IF(E311=3,"Indicator",IF(E311=4,"Sub-indicator", "Sub-sub-indicator")))))</f>
        <v>Indicator</v>
      </c>
      <c r="G311" s="8">
        <v>0</v>
      </c>
      <c r="H311" s="12" t="s">
        <v>1471</v>
      </c>
      <c r="I311" s="8" t="s">
        <v>1472</v>
      </c>
      <c r="J311" s="8" t="str">
        <f>$H$303</f>
        <v>BUSINESS &amp; LABOUR ENVIRONMENT</v>
      </c>
      <c r="K311" s="8" t="str">
        <f>$H$274</f>
        <v>FOUNDATIONS FOR ECONOMIC OPPORTUNITY</v>
      </c>
      <c r="L311" s="8" t="s">
        <v>33</v>
      </c>
      <c r="M311" s="8" t="s">
        <v>31</v>
      </c>
      <c r="N311" s="8" t="s">
        <v>31</v>
      </c>
      <c r="O311" s="8" t="s">
        <v>31</v>
      </c>
      <c r="P311" s="8" t="s">
        <v>31</v>
      </c>
      <c r="Q311" s="9" t="s">
        <v>1473</v>
      </c>
      <c r="R311" s="8" t="s">
        <v>31</v>
      </c>
      <c r="S311" s="10" t="s">
        <v>31</v>
      </c>
      <c r="T311" s="8" t="s">
        <v>31</v>
      </c>
      <c r="U311" s="14" t="s">
        <v>31</v>
      </c>
      <c r="V311" s="8" t="s">
        <v>31</v>
      </c>
      <c r="W311" s="8" t="s">
        <v>31</v>
      </c>
      <c r="X311" s="8" t="s">
        <v>31</v>
      </c>
      <c r="Y311" s="8" t="s">
        <v>31</v>
      </c>
      <c r="Z311" s="8" t="s">
        <v>31</v>
      </c>
    </row>
    <row r="312" spans="1:28">
      <c r="A312" s="8">
        <v>311</v>
      </c>
      <c r="B312" s="8" t="s">
        <v>1474</v>
      </c>
      <c r="C312" s="8" t="s">
        <v>1470</v>
      </c>
      <c r="D312" s="8" t="s">
        <v>1471</v>
      </c>
      <c r="E312" s="8">
        <v>4</v>
      </c>
      <c r="F312" s="8" t="str">
        <f t="shared" si="29"/>
        <v>Sub-indicator</v>
      </c>
      <c r="G312" s="8">
        <v>0</v>
      </c>
      <c r="H312" s="8" t="s">
        <v>1475</v>
      </c>
      <c r="I312" s="8" t="s">
        <v>1365</v>
      </c>
      <c r="J312" s="8" t="str">
        <f>H303</f>
        <v>BUSINESS &amp; LABOUR ENVIRONMENT</v>
      </c>
      <c r="K312" s="8" t="str">
        <f>H274</f>
        <v>FOUNDATIONS FOR ECONOMIC OPPORTUNITY</v>
      </c>
      <c r="L312" s="8" t="s">
        <v>33</v>
      </c>
      <c r="M312" s="8" t="s">
        <v>31</v>
      </c>
      <c r="N312" s="8" t="s">
        <v>31</v>
      </c>
      <c r="O312" s="8" t="s">
        <v>31</v>
      </c>
      <c r="P312" s="8" t="s">
        <v>31</v>
      </c>
      <c r="Q312" s="9" t="s">
        <v>1476</v>
      </c>
      <c r="R312" s="8" t="s">
        <v>31</v>
      </c>
      <c r="S312" s="10" t="s">
        <v>31</v>
      </c>
      <c r="T312" s="8" t="s">
        <v>31</v>
      </c>
      <c r="U312" s="8" t="s">
        <v>31</v>
      </c>
      <c r="V312" s="8" t="s">
        <v>31</v>
      </c>
      <c r="W312" s="8" t="s">
        <v>31</v>
      </c>
      <c r="X312" s="8" t="s">
        <v>31</v>
      </c>
      <c r="Y312" s="8" t="s">
        <v>31</v>
      </c>
      <c r="Z312" s="8" t="s">
        <v>31</v>
      </c>
    </row>
    <row r="313" spans="1:28">
      <c r="A313" s="8">
        <v>312</v>
      </c>
      <c r="B313" s="8" t="s">
        <v>1477</v>
      </c>
      <c r="C313" s="8" t="s">
        <v>1474</v>
      </c>
      <c r="D313" s="8" t="s">
        <v>1475</v>
      </c>
      <c r="E313" s="8">
        <v>5</v>
      </c>
      <c r="F313" s="8" t="str">
        <f t="shared" si="29"/>
        <v>Sub-sub-indicator</v>
      </c>
      <c r="G313" s="8">
        <v>1</v>
      </c>
      <c r="H313" s="8" t="s">
        <v>1475</v>
      </c>
      <c r="I313" s="8" t="s">
        <v>1368</v>
      </c>
      <c r="J313" s="8" t="str">
        <f>$H$303</f>
        <v>BUSINESS &amp; LABOUR ENVIRONMENT</v>
      </c>
      <c r="K313" s="8" t="str">
        <f>$H$274</f>
        <v>FOUNDATIONS FOR ECONOMIC OPPORTUNITY</v>
      </c>
      <c r="L313" s="8" t="s">
        <v>1369</v>
      </c>
      <c r="M313" s="8" t="s">
        <v>1370</v>
      </c>
      <c r="N313" s="8" t="s">
        <v>31</v>
      </c>
      <c r="O313" s="8" t="s">
        <v>31</v>
      </c>
      <c r="P313" s="8" t="s">
        <v>31</v>
      </c>
      <c r="Q313" s="9" t="s">
        <v>1478</v>
      </c>
      <c r="R313" s="8" t="s">
        <v>1372</v>
      </c>
      <c r="S313" s="10">
        <v>45454</v>
      </c>
      <c r="T313" s="8" t="s">
        <v>1475</v>
      </c>
      <c r="U313" s="14" t="s">
        <v>1373</v>
      </c>
      <c r="V313" s="8" t="s">
        <v>155</v>
      </c>
      <c r="W313" s="8" t="s">
        <v>1479</v>
      </c>
      <c r="X313" s="8" t="s">
        <v>58</v>
      </c>
      <c r="Y313" s="8" t="s">
        <v>58</v>
      </c>
      <c r="Z313" s="8" t="s">
        <v>31</v>
      </c>
      <c r="AA313" s="8" t="s">
        <v>1375</v>
      </c>
    </row>
    <row r="314" spans="1:28">
      <c r="A314" s="8">
        <v>313</v>
      </c>
      <c r="B314" s="8" t="s">
        <v>1480</v>
      </c>
      <c r="C314" s="8" t="s">
        <v>1474</v>
      </c>
      <c r="D314" s="8" t="s">
        <v>1475</v>
      </c>
      <c r="E314" s="8">
        <v>5</v>
      </c>
      <c r="F314" s="8" t="str">
        <f t="shared" si="29"/>
        <v>Sub-sub-indicator</v>
      </c>
      <c r="G314" s="8">
        <v>1</v>
      </c>
      <c r="H314" s="8" t="s">
        <v>1475</v>
      </c>
      <c r="I314" s="8" t="s">
        <v>719</v>
      </c>
      <c r="J314" s="8" t="str">
        <f>$H$303</f>
        <v>BUSINESS &amp; LABOUR ENVIRONMENT</v>
      </c>
      <c r="K314" s="8" t="str">
        <f>$H$274</f>
        <v>FOUNDATIONS FOR ECONOMIC OPPORTUNITY</v>
      </c>
      <c r="L314" s="8" t="s">
        <v>720</v>
      </c>
      <c r="M314" s="8" t="s">
        <v>1377</v>
      </c>
      <c r="N314" s="8" t="s">
        <v>31</v>
      </c>
      <c r="O314" s="8" t="s">
        <v>31</v>
      </c>
      <c r="P314" s="8" t="s">
        <v>31</v>
      </c>
      <c r="Q314" s="9" t="s">
        <v>1481</v>
      </c>
      <c r="R314" s="8" t="s">
        <v>97</v>
      </c>
      <c r="S314" s="10">
        <v>45454</v>
      </c>
      <c r="T314" s="8" t="s">
        <v>1482</v>
      </c>
      <c r="U314" s="14" t="s">
        <v>1373</v>
      </c>
      <c r="V314" s="8" t="s">
        <v>155</v>
      </c>
      <c r="W314" s="8" t="s">
        <v>1380</v>
      </c>
      <c r="X314" s="8" t="s">
        <v>1381</v>
      </c>
      <c r="Y314" s="8" t="s">
        <v>58</v>
      </c>
      <c r="Z314" s="8" t="s">
        <v>31</v>
      </c>
    </row>
    <row r="315" spans="1:28">
      <c r="A315" s="8">
        <v>314</v>
      </c>
      <c r="B315" s="8" t="s">
        <v>1483</v>
      </c>
      <c r="C315" s="8" t="s">
        <v>1470</v>
      </c>
      <c r="D315" s="8" t="s">
        <v>1471</v>
      </c>
      <c r="E315" s="8">
        <v>4</v>
      </c>
      <c r="F315" s="8" t="str">
        <f t="shared" si="29"/>
        <v>Sub-indicator</v>
      </c>
      <c r="G315" s="8">
        <v>1</v>
      </c>
      <c r="H315" s="8" t="s">
        <v>1484</v>
      </c>
      <c r="I315" s="8" t="s">
        <v>400</v>
      </c>
      <c r="J315" s="8" t="str">
        <f>$H$303</f>
        <v>BUSINESS &amp; LABOUR ENVIRONMENT</v>
      </c>
      <c r="K315" s="8" t="str">
        <f>$H$274</f>
        <v>FOUNDATIONS FOR ECONOMIC OPPORTUNITY</v>
      </c>
      <c r="L315" s="8" t="s">
        <v>401</v>
      </c>
      <c r="M315" s="8" t="s">
        <v>402</v>
      </c>
      <c r="N315" s="8" t="s">
        <v>31</v>
      </c>
      <c r="O315" s="8" t="s">
        <v>31</v>
      </c>
      <c r="P315" s="8" t="s">
        <v>31</v>
      </c>
      <c r="Q315" s="9" t="s">
        <v>1485</v>
      </c>
      <c r="R315" s="8" t="s">
        <v>404</v>
      </c>
      <c r="S315" s="10">
        <v>45427</v>
      </c>
      <c r="T315" s="8" t="s">
        <v>1484</v>
      </c>
      <c r="U315" s="14" t="s">
        <v>144</v>
      </c>
      <c r="V315" s="8" t="s">
        <v>155</v>
      </c>
      <c r="W315" s="8" t="s">
        <v>406</v>
      </c>
      <c r="X315" s="8" t="s">
        <v>407</v>
      </c>
      <c r="Y315" s="8" t="s">
        <v>58</v>
      </c>
      <c r="Z315" s="8" t="s">
        <v>31</v>
      </c>
      <c r="AA315" s="8" t="s">
        <v>408</v>
      </c>
      <c r="AB315" s="8" t="s">
        <v>409</v>
      </c>
    </row>
    <row r="316" spans="1:28">
      <c r="A316" s="8">
        <v>315</v>
      </c>
      <c r="B316" s="8" t="s">
        <v>1486</v>
      </c>
      <c r="C316" s="8" t="s">
        <v>1420</v>
      </c>
      <c r="D316" s="8" t="s">
        <v>1421</v>
      </c>
      <c r="E316" s="12">
        <v>3</v>
      </c>
      <c r="F316" s="12" t="str">
        <f t="shared" si="29"/>
        <v>Indicator</v>
      </c>
      <c r="G316" s="8">
        <v>0</v>
      </c>
      <c r="H316" s="12" t="s">
        <v>1487</v>
      </c>
      <c r="I316" s="8" t="s">
        <v>1488</v>
      </c>
      <c r="J316" s="8" t="str">
        <f>$H$303</f>
        <v>BUSINESS &amp; LABOUR ENVIRONMENT</v>
      </c>
      <c r="K316" s="8" t="str">
        <f>$H$274</f>
        <v>FOUNDATIONS FOR ECONOMIC OPPORTUNITY</v>
      </c>
      <c r="L316" s="8" t="s">
        <v>33</v>
      </c>
      <c r="M316" s="8" t="s">
        <v>31</v>
      </c>
      <c r="N316" s="8" t="s">
        <v>31</v>
      </c>
      <c r="O316" s="8" t="s">
        <v>31</v>
      </c>
      <c r="P316" s="8" t="s">
        <v>31</v>
      </c>
      <c r="Q316" s="9" t="s">
        <v>1489</v>
      </c>
      <c r="R316" s="8" t="s">
        <v>31</v>
      </c>
      <c r="S316" s="10" t="s">
        <v>31</v>
      </c>
      <c r="T316" s="8" t="s">
        <v>31</v>
      </c>
      <c r="U316" s="14" t="s">
        <v>31</v>
      </c>
      <c r="V316" s="8" t="s">
        <v>31</v>
      </c>
      <c r="W316" s="8" t="s">
        <v>31</v>
      </c>
      <c r="X316" s="8" t="s">
        <v>31</v>
      </c>
      <c r="Y316" s="8" t="s">
        <v>31</v>
      </c>
      <c r="Z316" s="8" t="s">
        <v>31</v>
      </c>
    </row>
    <row r="317" spans="1:28">
      <c r="A317" s="8">
        <v>316</v>
      </c>
      <c r="B317" s="8" t="s">
        <v>1490</v>
      </c>
      <c r="C317" s="8" t="s">
        <v>1486</v>
      </c>
      <c r="D317" s="8" t="s">
        <v>1487</v>
      </c>
      <c r="E317" s="8">
        <v>4</v>
      </c>
      <c r="F317" s="8" t="s">
        <v>136</v>
      </c>
      <c r="G317" s="8">
        <v>1</v>
      </c>
      <c r="H317" s="8" t="s">
        <v>1491</v>
      </c>
      <c r="I317" s="8" t="s">
        <v>1492</v>
      </c>
      <c r="J317" s="8" t="s">
        <v>1421</v>
      </c>
      <c r="K317" s="8" t="s">
        <v>1287</v>
      </c>
      <c r="L317" s="8" t="s">
        <v>1493</v>
      </c>
      <c r="M317" s="8" t="s">
        <v>1494</v>
      </c>
      <c r="N317" s="8" t="s">
        <v>31</v>
      </c>
      <c r="O317" s="8" t="s">
        <v>31</v>
      </c>
      <c r="P317" s="8" t="s">
        <v>31</v>
      </c>
      <c r="Q317" s="9" t="s">
        <v>1495</v>
      </c>
      <c r="R317" s="8" t="s">
        <v>1108</v>
      </c>
      <c r="S317" s="10">
        <v>45504</v>
      </c>
      <c r="T317" s="8" t="s">
        <v>1496</v>
      </c>
      <c r="U317" s="14" t="s">
        <v>154</v>
      </c>
      <c r="V317" s="8" t="s">
        <v>155</v>
      </c>
      <c r="W317" s="8" t="s">
        <v>1497</v>
      </c>
      <c r="X317" s="8" t="s">
        <v>1498</v>
      </c>
      <c r="Y317" s="8" t="s">
        <v>58</v>
      </c>
      <c r="Z317" s="8" t="s">
        <v>31</v>
      </c>
    </row>
    <row r="318" spans="1:28">
      <c r="A318" s="8">
        <v>317</v>
      </c>
      <c r="B318" s="8" t="s">
        <v>1499</v>
      </c>
      <c r="C318" s="8" t="s">
        <v>1486</v>
      </c>
      <c r="D318" s="8" t="s">
        <v>1487</v>
      </c>
      <c r="E318" s="8">
        <v>4</v>
      </c>
      <c r="F318" s="8" t="s">
        <v>136</v>
      </c>
      <c r="G318" s="8">
        <v>1</v>
      </c>
      <c r="H318" s="8" t="s">
        <v>1500</v>
      </c>
      <c r="I318" s="8" t="s">
        <v>719</v>
      </c>
      <c r="J318" s="8" t="s">
        <v>1421</v>
      </c>
      <c r="K318" s="8" t="s">
        <v>1287</v>
      </c>
      <c r="L318" s="8" t="s">
        <v>720</v>
      </c>
      <c r="M318" s="8" t="s">
        <v>1501</v>
      </c>
      <c r="N318" s="8" t="s">
        <v>31</v>
      </c>
      <c r="O318" s="8" t="s">
        <v>31</v>
      </c>
      <c r="P318" s="8" t="s">
        <v>31</v>
      </c>
      <c r="Q318" s="9" t="s">
        <v>1502</v>
      </c>
      <c r="R318" s="8" t="s">
        <v>1503</v>
      </c>
      <c r="S318" s="10">
        <v>45488</v>
      </c>
      <c r="T318" s="8" t="s">
        <v>1504</v>
      </c>
      <c r="U318" s="14" t="s">
        <v>196</v>
      </c>
      <c r="V318" s="8" t="s">
        <v>155</v>
      </c>
      <c r="W318" s="8" t="s">
        <v>1505</v>
      </c>
      <c r="X318" s="8" t="s">
        <v>1506</v>
      </c>
      <c r="Y318" s="8" t="s">
        <v>1507</v>
      </c>
      <c r="Z318" s="8" t="s">
        <v>31</v>
      </c>
    </row>
    <row r="319" spans="1:28">
      <c r="A319" s="8">
        <v>318</v>
      </c>
      <c r="B319" s="8" t="s">
        <v>1508</v>
      </c>
      <c r="C319" s="8" t="s">
        <v>1486</v>
      </c>
      <c r="D319" s="8" t="s">
        <v>1487</v>
      </c>
      <c r="E319" s="8">
        <v>4</v>
      </c>
      <c r="F319" s="8" t="s">
        <v>136</v>
      </c>
      <c r="G319" s="8">
        <v>1</v>
      </c>
      <c r="H319" s="8" t="s">
        <v>1509</v>
      </c>
      <c r="I319" s="8" t="s">
        <v>719</v>
      </c>
      <c r="J319" s="8" t="s">
        <v>1421</v>
      </c>
      <c r="K319" s="8" t="s">
        <v>1287</v>
      </c>
      <c r="L319" s="8" t="s">
        <v>720</v>
      </c>
      <c r="M319" s="8" t="s">
        <v>1501</v>
      </c>
      <c r="N319" s="8" t="s">
        <v>31</v>
      </c>
      <c r="O319" s="8" t="s">
        <v>31</v>
      </c>
      <c r="P319" s="8" t="s">
        <v>31</v>
      </c>
      <c r="Q319" s="9" t="s">
        <v>1510</v>
      </c>
      <c r="R319" s="8" t="s">
        <v>1503</v>
      </c>
      <c r="S319" s="10">
        <v>45488</v>
      </c>
      <c r="T319" s="8" t="s">
        <v>1511</v>
      </c>
      <c r="U319" s="14" t="s">
        <v>196</v>
      </c>
      <c r="V319" s="8" t="s">
        <v>155</v>
      </c>
      <c r="W319" s="8" t="s">
        <v>1505</v>
      </c>
      <c r="X319" s="8" t="s">
        <v>1512</v>
      </c>
      <c r="Y319" s="8" t="s">
        <v>1513</v>
      </c>
      <c r="Z319" s="8" t="s">
        <v>31</v>
      </c>
    </row>
    <row r="320" spans="1:28">
      <c r="A320" s="8">
        <v>319</v>
      </c>
      <c r="B320" s="8" t="s">
        <v>1514</v>
      </c>
      <c r="C320" s="8" t="s">
        <v>1486</v>
      </c>
      <c r="D320" s="8" t="s">
        <v>1487</v>
      </c>
      <c r="E320" s="8">
        <v>4</v>
      </c>
      <c r="F320" s="8" t="s">
        <v>136</v>
      </c>
      <c r="G320" s="8">
        <v>1</v>
      </c>
      <c r="H320" s="8" t="s">
        <v>1515</v>
      </c>
      <c r="I320" s="8" t="s">
        <v>1492</v>
      </c>
      <c r="J320" s="8" t="s">
        <v>1421</v>
      </c>
      <c r="K320" s="8" t="s">
        <v>1287</v>
      </c>
      <c r="L320" s="8" t="s">
        <v>1493</v>
      </c>
      <c r="M320" s="8" t="s">
        <v>1494</v>
      </c>
      <c r="N320" s="8" t="s">
        <v>31</v>
      </c>
      <c r="O320" s="8" t="s">
        <v>31</v>
      </c>
      <c r="P320" s="8" t="s">
        <v>31</v>
      </c>
      <c r="Q320" s="9" t="s">
        <v>1516</v>
      </c>
      <c r="R320" s="8" t="s">
        <v>1108</v>
      </c>
      <c r="S320" s="10">
        <v>45504</v>
      </c>
      <c r="T320" s="8" t="s">
        <v>1517</v>
      </c>
      <c r="U320" s="14" t="s">
        <v>154</v>
      </c>
      <c r="V320" s="8" t="s">
        <v>155</v>
      </c>
      <c r="W320" s="8" t="s">
        <v>1497</v>
      </c>
      <c r="X320" s="8" t="s">
        <v>1498</v>
      </c>
      <c r="Y320" s="8" t="s">
        <v>58</v>
      </c>
      <c r="Z320" s="8" t="s">
        <v>31</v>
      </c>
    </row>
    <row r="321" spans="1:40">
      <c r="A321" s="8">
        <v>320</v>
      </c>
      <c r="B321" s="8" t="s">
        <v>1518</v>
      </c>
      <c r="C321" s="8" t="s">
        <v>1420</v>
      </c>
      <c r="D321" s="8" t="s">
        <v>1421</v>
      </c>
      <c r="E321" s="12">
        <v>3</v>
      </c>
      <c r="F321" s="12" t="str">
        <f>IF(E321=0,"Overall",IF(E321=1,"Category",IF(E321=2,"Sub-category",IF(E321=3,"Indicator",IF(E321=4,"Sub-indicator", "Sub-sub-indicator")))))</f>
        <v>Indicator</v>
      </c>
      <c r="G321" s="8">
        <v>0</v>
      </c>
      <c r="H321" s="12" t="s">
        <v>1519</v>
      </c>
      <c r="I321" s="8" t="s">
        <v>1520</v>
      </c>
      <c r="J321" s="8" t="str">
        <f t="shared" ref="J321:J330" si="30">$H$303</f>
        <v>BUSINESS &amp; LABOUR ENVIRONMENT</v>
      </c>
      <c r="K321" s="8" t="str">
        <f t="shared" ref="K321:K332" si="31">$H$274</f>
        <v>FOUNDATIONS FOR ECONOMIC OPPORTUNITY</v>
      </c>
      <c r="L321" s="8" t="s">
        <v>33</v>
      </c>
      <c r="M321" s="8" t="s">
        <v>31</v>
      </c>
      <c r="N321" s="8" t="s">
        <v>31</v>
      </c>
      <c r="O321" s="8" t="s">
        <v>31</v>
      </c>
      <c r="P321" s="8" t="s">
        <v>31</v>
      </c>
      <c r="Q321" s="9" t="s">
        <v>1521</v>
      </c>
      <c r="R321" s="8" t="s">
        <v>31</v>
      </c>
      <c r="S321" s="10" t="s">
        <v>31</v>
      </c>
      <c r="T321" s="8" t="s">
        <v>31</v>
      </c>
      <c r="U321" s="14" t="s">
        <v>31</v>
      </c>
      <c r="V321" s="8" t="s">
        <v>31</v>
      </c>
      <c r="W321" s="8" t="s">
        <v>31</v>
      </c>
      <c r="X321" s="8" t="s">
        <v>31</v>
      </c>
      <c r="Y321" s="8" t="s">
        <v>31</v>
      </c>
      <c r="Z321" s="8" t="s">
        <v>31</v>
      </c>
    </row>
    <row r="322" spans="1:40">
      <c r="A322" s="8">
        <v>321</v>
      </c>
      <c r="B322" s="8" t="s">
        <v>1522</v>
      </c>
      <c r="C322" s="8" t="s">
        <v>1518</v>
      </c>
      <c r="D322" s="8" t="s">
        <v>1519</v>
      </c>
      <c r="E322" s="8">
        <v>4</v>
      </c>
      <c r="F322" s="8" t="str">
        <f>IF(E322=0,"Overall",IF(E322=1,"Category",IF(E322=2,"Sub-category",IF(E322=3,"Indicator",IF(E322=4,"Sub-indicator", "Sub-sub-indicator")))))</f>
        <v>Sub-indicator</v>
      </c>
      <c r="G322" s="8">
        <v>1</v>
      </c>
      <c r="H322" s="8" t="s">
        <v>1523</v>
      </c>
      <c r="I322" s="8" t="s">
        <v>367</v>
      </c>
      <c r="J322" s="8" t="str">
        <f t="shared" si="30"/>
        <v>BUSINESS &amp; LABOUR ENVIRONMENT</v>
      </c>
      <c r="K322" s="8" t="str">
        <f t="shared" si="31"/>
        <v>FOUNDATIONS FOR ECONOMIC OPPORTUNITY</v>
      </c>
      <c r="L322" s="8" t="s">
        <v>368</v>
      </c>
      <c r="M322" s="8" t="s">
        <v>369</v>
      </c>
      <c r="N322" s="8" t="s">
        <v>31</v>
      </c>
      <c r="O322" s="8" t="s">
        <v>31</v>
      </c>
      <c r="P322" s="8" t="s">
        <v>31</v>
      </c>
      <c r="Q322" s="9" t="s">
        <v>1524</v>
      </c>
      <c r="R322" s="8" t="s">
        <v>53</v>
      </c>
      <c r="S322" s="10">
        <v>45484</v>
      </c>
      <c r="T322" s="8" t="s">
        <v>1525</v>
      </c>
      <c r="U322" s="14" t="s">
        <v>372</v>
      </c>
      <c r="V322" s="8" t="s">
        <v>155</v>
      </c>
      <c r="W322" s="8" t="s">
        <v>373</v>
      </c>
      <c r="X322" s="8" t="s">
        <v>374</v>
      </c>
      <c r="Y322" s="8" t="s">
        <v>375</v>
      </c>
      <c r="Z322" s="8" t="s">
        <v>31</v>
      </c>
      <c r="AA322" s="8" t="s">
        <v>376</v>
      </c>
    </row>
    <row r="323" spans="1:40">
      <c r="A323" s="8">
        <v>322</v>
      </c>
      <c r="B323" s="8" t="s">
        <v>1526</v>
      </c>
      <c r="C323" s="8" t="s">
        <v>1518</v>
      </c>
      <c r="D323" s="8" t="s">
        <v>1519</v>
      </c>
      <c r="E323" s="8">
        <v>4</v>
      </c>
      <c r="F323" s="8" t="str">
        <f>IF(E323=0,"Overall",IF(E323=1,"Category",IF(E323=2,"Sub-category",IF(E323=3,"Indicator",IF(E323=4,"Sub-indicator", "Sub-sub-indicator")))))</f>
        <v>Sub-indicator</v>
      </c>
      <c r="G323" s="8">
        <v>1</v>
      </c>
      <c r="H323" s="8" t="s">
        <v>1527</v>
      </c>
      <c r="I323" s="8" t="s">
        <v>267</v>
      </c>
      <c r="J323" s="8" t="str">
        <f t="shared" si="30"/>
        <v>BUSINESS &amp; LABOUR ENVIRONMENT</v>
      </c>
      <c r="K323" s="8" t="str">
        <f t="shared" si="31"/>
        <v>FOUNDATIONS FOR ECONOMIC OPPORTUNITY</v>
      </c>
      <c r="L323" s="8" t="s">
        <v>268</v>
      </c>
      <c r="M323" s="8" t="s">
        <v>269</v>
      </c>
      <c r="N323" s="8" t="s">
        <v>31</v>
      </c>
      <c r="O323" s="8" t="s">
        <v>31</v>
      </c>
      <c r="P323" s="8" t="s">
        <v>31</v>
      </c>
      <c r="Q323" s="9" t="s">
        <v>1528</v>
      </c>
      <c r="R323" s="8" t="s">
        <v>53</v>
      </c>
      <c r="S323" s="10">
        <v>45481</v>
      </c>
      <c r="T323" s="8" t="s">
        <v>1529</v>
      </c>
      <c r="U323" s="14" t="s">
        <v>196</v>
      </c>
      <c r="V323" s="8" t="s">
        <v>155</v>
      </c>
      <c r="W323" s="8" t="s">
        <v>272</v>
      </c>
      <c r="X323" s="8" t="s">
        <v>58</v>
      </c>
      <c r="Y323" s="8" t="s">
        <v>58</v>
      </c>
      <c r="Z323" s="8" t="s">
        <v>31</v>
      </c>
      <c r="AA323" s="8" t="s">
        <v>273</v>
      </c>
    </row>
    <row r="324" spans="1:40">
      <c r="A324" s="8">
        <v>323</v>
      </c>
      <c r="B324" s="8" t="s">
        <v>1530</v>
      </c>
      <c r="C324" s="8" t="s">
        <v>1518</v>
      </c>
      <c r="D324" s="8" t="s">
        <v>1519</v>
      </c>
      <c r="E324" s="8">
        <v>4</v>
      </c>
      <c r="F324" s="8" t="s">
        <v>136</v>
      </c>
      <c r="G324" s="8">
        <v>1</v>
      </c>
      <c r="H324" s="8" t="s">
        <v>1531</v>
      </c>
      <c r="I324" s="8" t="s">
        <v>1532</v>
      </c>
      <c r="J324" s="8" t="str">
        <f t="shared" si="30"/>
        <v>BUSINESS &amp; LABOUR ENVIRONMENT</v>
      </c>
      <c r="K324" s="8" t="str">
        <f t="shared" si="31"/>
        <v>FOUNDATIONS FOR ECONOMIC OPPORTUNITY</v>
      </c>
      <c r="L324" s="8" t="s">
        <v>1533</v>
      </c>
      <c r="M324" s="8" t="s">
        <v>1534</v>
      </c>
      <c r="N324" s="8" t="s">
        <v>31</v>
      </c>
      <c r="O324" s="8" t="s">
        <v>31</v>
      </c>
      <c r="P324" s="8" t="s">
        <v>31</v>
      </c>
      <c r="Q324" s="9" t="s">
        <v>1535</v>
      </c>
      <c r="R324" s="8" t="s">
        <v>53</v>
      </c>
      <c r="S324" s="10">
        <v>45488</v>
      </c>
      <c r="T324" s="8" t="s">
        <v>1534</v>
      </c>
      <c r="U324" s="11" t="s">
        <v>1373</v>
      </c>
      <c r="V324" s="8" t="s">
        <v>56</v>
      </c>
      <c r="W324" s="8" t="s">
        <v>1536</v>
      </c>
      <c r="X324" s="8" t="s">
        <v>1537</v>
      </c>
      <c r="Y324" s="8" t="s">
        <v>1538</v>
      </c>
      <c r="Z324" s="8" t="s">
        <v>31</v>
      </c>
      <c r="AA324" s="8" t="s">
        <v>1539</v>
      </c>
    </row>
    <row r="325" spans="1:40">
      <c r="A325" s="8">
        <v>324</v>
      </c>
      <c r="B325" s="8" t="s">
        <v>1540</v>
      </c>
      <c r="C325" s="8" t="s">
        <v>1420</v>
      </c>
      <c r="D325" s="8" t="s">
        <v>1421</v>
      </c>
      <c r="E325" s="12">
        <v>3</v>
      </c>
      <c r="F325" s="12" t="s">
        <v>186</v>
      </c>
      <c r="G325" s="8">
        <v>0</v>
      </c>
      <c r="H325" s="12" t="s">
        <v>1541</v>
      </c>
      <c r="I325" s="8" t="s">
        <v>1542</v>
      </c>
      <c r="J325" s="8" t="str">
        <f t="shared" si="30"/>
        <v>BUSINESS &amp; LABOUR ENVIRONMENT</v>
      </c>
      <c r="K325" s="8" t="str">
        <f t="shared" si="31"/>
        <v>FOUNDATIONS FOR ECONOMIC OPPORTUNITY</v>
      </c>
      <c r="L325" s="8" t="s">
        <v>33</v>
      </c>
      <c r="M325" s="8" t="s">
        <v>31</v>
      </c>
      <c r="N325" s="8" t="s">
        <v>31</v>
      </c>
      <c r="O325" s="8" t="s">
        <v>31</v>
      </c>
      <c r="P325" s="8" t="s">
        <v>31</v>
      </c>
      <c r="Q325" s="9" t="s">
        <v>1543</v>
      </c>
      <c r="R325" s="8" t="s">
        <v>31</v>
      </c>
      <c r="S325" s="10" t="s">
        <v>31</v>
      </c>
      <c r="T325" s="8" t="s">
        <v>31</v>
      </c>
      <c r="U325" s="8" t="s">
        <v>31</v>
      </c>
      <c r="V325" s="8" t="s">
        <v>31</v>
      </c>
      <c r="W325" s="8" t="s">
        <v>31</v>
      </c>
      <c r="X325" s="8" t="s">
        <v>31</v>
      </c>
      <c r="Y325" s="8" t="s">
        <v>31</v>
      </c>
      <c r="Z325" s="8" t="s">
        <v>31</v>
      </c>
    </row>
    <row r="326" spans="1:40">
      <c r="A326" s="8">
        <v>325</v>
      </c>
      <c r="B326" s="8" t="s">
        <v>1544</v>
      </c>
      <c r="C326" s="8" t="s">
        <v>1540</v>
      </c>
      <c r="D326" s="8" t="s">
        <v>1541</v>
      </c>
      <c r="E326" s="8">
        <v>4</v>
      </c>
      <c r="F326" s="8" t="s">
        <v>136</v>
      </c>
      <c r="G326" s="8">
        <v>1</v>
      </c>
      <c r="H326" s="8" t="s">
        <v>1545</v>
      </c>
      <c r="I326" s="8" t="s">
        <v>1546</v>
      </c>
      <c r="J326" s="8" t="str">
        <f t="shared" si="30"/>
        <v>BUSINESS &amp; LABOUR ENVIRONMENT</v>
      </c>
      <c r="K326" s="8" t="str">
        <f t="shared" si="31"/>
        <v>FOUNDATIONS FOR ECONOMIC OPPORTUNITY</v>
      </c>
      <c r="L326" s="8" t="s">
        <v>1547</v>
      </c>
      <c r="M326" s="8" t="s">
        <v>1548</v>
      </c>
      <c r="N326" s="8" t="s">
        <v>31</v>
      </c>
      <c r="O326" s="8" t="s">
        <v>31</v>
      </c>
      <c r="P326" s="8" t="s">
        <v>31</v>
      </c>
      <c r="Q326" s="9" t="s">
        <v>1549</v>
      </c>
      <c r="R326" s="8" t="s">
        <v>53</v>
      </c>
      <c r="S326" s="10">
        <v>45504</v>
      </c>
      <c r="T326" s="8" t="s">
        <v>1550</v>
      </c>
      <c r="U326" s="14" t="s">
        <v>196</v>
      </c>
      <c r="V326" s="8" t="s">
        <v>56</v>
      </c>
      <c r="W326" s="8" t="s">
        <v>1551</v>
      </c>
      <c r="X326" s="8" t="s">
        <v>1552</v>
      </c>
      <c r="Y326" s="8" t="s">
        <v>58</v>
      </c>
      <c r="Z326" s="8" t="s">
        <v>31</v>
      </c>
    </row>
    <row r="327" spans="1:40">
      <c r="A327" s="8">
        <v>326</v>
      </c>
      <c r="B327" s="8" t="s">
        <v>1553</v>
      </c>
      <c r="C327" s="8" t="s">
        <v>1540</v>
      </c>
      <c r="D327" s="8" t="s">
        <v>1541</v>
      </c>
      <c r="E327" s="8">
        <v>4</v>
      </c>
      <c r="F327" s="8" t="s">
        <v>136</v>
      </c>
      <c r="G327" s="8">
        <v>1</v>
      </c>
      <c r="H327" s="8" t="s">
        <v>1554</v>
      </c>
      <c r="I327" s="8" t="s">
        <v>719</v>
      </c>
      <c r="J327" s="8" t="str">
        <f t="shared" si="30"/>
        <v>BUSINESS &amp; LABOUR ENVIRONMENT</v>
      </c>
      <c r="K327" s="8" t="str">
        <f t="shared" si="31"/>
        <v>FOUNDATIONS FOR ECONOMIC OPPORTUNITY</v>
      </c>
      <c r="L327" s="8" t="s">
        <v>720</v>
      </c>
      <c r="M327" s="8" t="s">
        <v>1555</v>
      </c>
      <c r="N327" s="8" t="s">
        <v>31</v>
      </c>
      <c r="O327" s="8" t="s">
        <v>31</v>
      </c>
      <c r="P327" s="8" t="s">
        <v>31</v>
      </c>
      <c r="Q327" s="9" t="s">
        <v>1556</v>
      </c>
      <c r="R327" s="8" t="s">
        <v>97</v>
      </c>
      <c r="S327" s="10">
        <v>45454</v>
      </c>
      <c r="T327" s="8" t="s">
        <v>1557</v>
      </c>
      <c r="U327" s="14" t="s">
        <v>196</v>
      </c>
      <c r="V327" s="8" t="s">
        <v>56</v>
      </c>
      <c r="W327" s="8" t="s">
        <v>1558</v>
      </c>
      <c r="X327" s="8" t="s">
        <v>1559</v>
      </c>
      <c r="Y327" s="8" t="s">
        <v>58</v>
      </c>
      <c r="Z327" s="8" t="s">
        <v>31</v>
      </c>
    </row>
    <row r="328" spans="1:40">
      <c r="A328" s="8">
        <v>327</v>
      </c>
      <c r="B328" s="8" t="s">
        <v>1560</v>
      </c>
      <c r="C328" s="8" t="s">
        <v>1420</v>
      </c>
      <c r="D328" s="8" t="s">
        <v>1421</v>
      </c>
      <c r="E328" s="12">
        <v>3</v>
      </c>
      <c r="F328" s="12" t="s">
        <v>186</v>
      </c>
      <c r="G328" s="8">
        <v>0</v>
      </c>
      <c r="H328" s="12" t="s">
        <v>1561</v>
      </c>
      <c r="I328" s="8" t="s">
        <v>188</v>
      </c>
      <c r="J328" s="8" t="str">
        <f t="shared" si="30"/>
        <v>BUSINESS &amp; LABOUR ENVIRONMENT</v>
      </c>
      <c r="K328" s="8" t="str">
        <f t="shared" si="31"/>
        <v>FOUNDATIONS FOR ECONOMIC OPPORTUNITY</v>
      </c>
      <c r="L328" s="8" t="s">
        <v>33</v>
      </c>
      <c r="M328" s="8" t="s">
        <v>31</v>
      </c>
      <c r="N328" s="8" t="s">
        <v>31</v>
      </c>
      <c r="O328" s="8" t="s">
        <v>31</v>
      </c>
      <c r="P328" s="8" t="s">
        <v>31</v>
      </c>
      <c r="Q328" s="9" t="s">
        <v>1562</v>
      </c>
      <c r="R328" s="8" t="s">
        <v>31</v>
      </c>
      <c r="S328" s="10" t="s">
        <v>31</v>
      </c>
      <c r="T328" s="8" t="s">
        <v>31</v>
      </c>
      <c r="U328" s="14" t="s">
        <v>31</v>
      </c>
      <c r="V328" s="8" t="s">
        <v>31</v>
      </c>
      <c r="W328" s="8" t="s">
        <v>31</v>
      </c>
      <c r="X328" s="8" t="s">
        <v>31</v>
      </c>
      <c r="Y328" s="8" t="s">
        <v>31</v>
      </c>
      <c r="Z328" s="8" t="s">
        <v>31</v>
      </c>
    </row>
    <row r="329" spans="1:40">
      <c r="A329" s="8">
        <v>328</v>
      </c>
      <c r="B329" s="8" t="s">
        <v>1563</v>
      </c>
      <c r="C329" s="8" t="s">
        <v>1560</v>
      </c>
      <c r="D329" s="8" t="s">
        <v>1561</v>
      </c>
      <c r="E329" s="8">
        <v>4</v>
      </c>
      <c r="F329" s="8" t="s">
        <v>136</v>
      </c>
      <c r="G329" s="8">
        <v>1</v>
      </c>
      <c r="H329" s="8" t="s">
        <v>1564</v>
      </c>
      <c r="I329" s="8" t="s">
        <v>188</v>
      </c>
      <c r="J329" s="8" t="str">
        <f t="shared" si="30"/>
        <v>BUSINESS &amp; LABOUR ENVIRONMENT</v>
      </c>
      <c r="K329" s="8" t="str">
        <f t="shared" si="31"/>
        <v>FOUNDATIONS FOR ECONOMIC OPPORTUNITY</v>
      </c>
      <c r="L329" s="8" t="s">
        <v>192</v>
      </c>
      <c r="M329" s="8" t="s">
        <v>193</v>
      </c>
      <c r="N329" s="8" t="s">
        <v>31</v>
      </c>
      <c r="O329" s="8" t="s">
        <v>31</v>
      </c>
      <c r="P329" s="8" t="s">
        <v>31</v>
      </c>
      <c r="Q329" s="8" t="s">
        <v>1565</v>
      </c>
      <c r="R329" s="8" t="s">
        <v>53</v>
      </c>
      <c r="S329" s="10">
        <v>45498</v>
      </c>
      <c r="T329" s="8" t="s">
        <v>1566</v>
      </c>
      <c r="U329" s="8" t="s">
        <v>196</v>
      </c>
      <c r="V329" s="8" t="s">
        <v>197</v>
      </c>
      <c r="W329" s="8" t="s">
        <v>198</v>
      </c>
      <c r="X329" s="8" t="s">
        <v>199</v>
      </c>
      <c r="Y329" s="8" t="s">
        <v>200</v>
      </c>
      <c r="Z329" s="8" t="s">
        <v>31</v>
      </c>
      <c r="AA329" s="8" t="s">
        <v>201</v>
      </c>
      <c r="AB329" s="8" t="s">
        <v>202</v>
      </c>
      <c r="AG329" s="8" t="s">
        <v>754</v>
      </c>
    </row>
    <row r="330" spans="1:40">
      <c r="A330" s="8">
        <v>329</v>
      </c>
      <c r="B330" s="8" t="s">
        <v>1567</v>
      </c>
      <c r="C330" s="8" t="s">
        <v>1560</v>
      </c>
      <c r="D330" s="8" t="s">
        <v>1561</v>
      </c>
      <c r="E330" s="8">
        <v>4</v>
      </c>
      <c r="F330" s="8" t="s">
        <v>136</v>
      </c>
      <c r="G330" s="8">
        <v>1</v>
      </c>
      <c r="H330" s="8" t="s">
        <v>1568</v>
      </c>
      <c r="I330" s="8" t="s">
        <v>188</v>
      </c>
      <c r="J330" s="8" t="str">
        <f t="shared" si="30"/>
        <v>BUSINESS &amp; LABOUR ENVIRONMENT</v>
      </c>
      <c r="K330" s="8" t="str">
        <f t="shared" si="31"/>
        <v>FOUNDATIONS FOR ECONOMIC OPPORTUNITY</v>
      </c>
      <c r="L330" s="8" t="s">
        <v>192</v>
      </c>
      <c r="M330" s="8" t="s">
        <v>193</v>
      </c>
      <c r="N330" s="8" t="s">
        <v>31</v>
      </c>
      <c r="O330" s="8" t="s">
        <v>31</v>
      </c>
      <c r="P330" s="8" t="s">
        <v>31</v>
      </c>
      <c r="Q330" s="8" t="s">
        <v>1569</v>
      </c>
      <c r="R330" s="8" t="s">
        <v>53</v>
      </c>
      <c r="S330" s="10">
        <v>45498</v>
      </c>
      <c r="T330" s="8" t="s">
        <v>1570</v>
      </c>
      <c r="U330" s="8" t="s">
        <v>196</v>
      </c>
      <c r="V330" s="8" t="s">
        <v>197</v>
      </c>
      <c r="W330" s="8" t="s">
        <v>198</v>
      </c>
      <c r="X330" s="8" t="s">
        <v>199</v>
      </c>
      <c r="Y330" s="8" t="s">
        <v>200</v>
      </c>
      <c r="Z330" s="8" t="s">
        <v>31</v>
      </c>
      <c r="AA330" s="8" t="s">
        <v>201</v>
      </c>
      <c r="AB330" s="8" t="s">
        <v>202</v>
      </c>
    </row>
    <row r="331" spans="1:40" s="6" customFormat="1">
      <c r="A331" s="6">
        <v>330</v>
      </c>
      <c r="B331" s="6" t="s">
        <v>1571</v>
      </c>
      <c r="C331" s="6" t="s">
        <v>1286</v>
      </c>
      <c r="D331" s="6" t="s">
        <v>1287</v>
      </c>
      <c r="E331" s="6">
        <v>2</v>
      </c>
      <c r="F331" s="6" t="str">
        <f>IF(E331=0,"Overall",IF(E331=1,"Category",IF(E331=2,"Sub-category",IF(E331=3,"Indicator",IF(E331=4,"Sub-indicator", "Sub-sub-indicator")))))</f>
        <v>Sub-category</v>
      </c>
      <c r="G331" s="6">
        <v>0</v>
      </c>
      <c r="H331" s="6" t="s">
        <v>1572</v>
      </c>
      <c r="I331" s="6" t="s">
        <v>31</v>
      </c>
      <c r="J331" s="6" t="s">
        <v>31</v>
      </c>
      <c r="K331" s="6" t="str">
        <f t="shared" si="31"/>
        <v>FOUNDATIONS FOR ECONOMIC OPPORTUNITY</v>
      </c>
      <c r="L331" s="6" t="s">
        <v>33</v>
      </c>
      <c r="M331" s="6" t="s">
        <v>31</v>
      </c>
      <c r="N331" s="6" t="s">
        <v>31</v>
      </c>
      <c r="O331" s="6" t="s">
        <v>31</v>
      </c>
      <c r="P331" s="6" t="s">
        <v>31</v>
      </c>
      <c r="Q331" s="24" t="s">
        <v>1573</v>
      </c>
      <c r="R331" s="6" t="s">
        <v>31</v>
      </c>
      <c r="S331" s="6" t="s">
        <v>31</v>
      </c>
      <c r="T331" s="6" t="s">
        <v>31</v>
      </c>
      <c r="U331" s="6" t="s">
        <v>31</v>
      </c>
      <c r="V331" s="6" t="s">
        <v>31</v>
      </c>
      <c r="W331" s="6" t="s">
        <v>31</v>
      </c>
      <c r="X331" s="6" t="s">
        <v>31</v>
      </c>
      <c r="Y331" s="6" t="s">
        <v>31</v>
      </c>
      <c r="Z331" s="6" t="s">
        <v>31</v>
      </c>
    </row>
    <row r="332" spans="1:40">
      <c r="A332" s="8">
        <v>331</v>
      </c>
      <c r="B332" s="8" t="s">
        <v>1574</v>
      </c>
      <c r="C332" s="8" t="s">
        <v>1571</v>
      </c>
      <c r="D332" s="8" t="s">
        <v>1572</v>
      </c>
      <c r="E332" s="12">
        <v>3</v>
      </c>
      <c r="F332" s="12" t="str">
        <f>IF(E332=0,"Overall",IF(E332=1,"Category",IF(E332=2,"Sub-category",IF(E332=3,"Indicator",IF(E332=4,"Sub-indicator", "Sub-sub-indicator")))))</f>
        <v>Indicator</v>
      </c>
      <c r="G332" s="8">
        <v>0</v>
      </c>
      <c r="H332" s="12" t="s">
        <v>1575</v>
      </c>
      <c r="I332" s="8" t="s">
        <v>1576</v>
      </c>
      <c r="J332" s="8" t="str">
        <f>$H$331</f>
        <v>INFRASTRUCTURE</v>
      </c>
      <c r="K332" s="8" t="str">
        <f t="shared" si="31"/>
        <v>FOUNDATIONS FOR ECONOMIC OPPORTUNITY</v>
      </c>
      <c r="L332" s="8" t="s">
        <v>33</v>
      </c>
      <c r="M332" s="8" t="s">
        <v>31</v>
      </c>
      <c r="N332" s="8" t="s">
        <v>31</v>
      </c>
      <c r="O332" s="8" t="s">
        <v>31</v>
      </c>
      <c r="P332" s="8" t="s">
        <v>31</v>
      </c>
      <c r="Q332" s="9" t="s">
        <v>1577</v>
      </c>
      <c r="R332" s="8" t="s">
        <v>31</v>
      </c>
      <c r="S332" s="10" t="s">
        <v>31</v>
      </c>
      <c r="T332" s="8" t="s">
        <v>31</v>
      </c>
      <c r="U332" s="14" t="s">
        <v>31</v>
      </c>
      <c r="V332" s="8" t="s">
        <v>31</v>
      </c>
      <c r="W332" s="8" t="s">
        <v>31</v>
      </c>
      <c r="X332" s="8" t="s">
        <v>31</v>
      </c>
      <c r="Y332" s="8" t="s">
        <v>31</v>
      </c>
      <c r="Z332" s="8" t="s">
        <v>31</v>
      </c>
    </row>
    <row r="333" spans="1:40">
      <c r="A333" s="8">
        <v>332</v>
      </c>
      <c r="B333" s="8" t="s">
        <v>1578</v>
      </c>
      <c r="C333" s="8" t="s">
        <v>1574</v>
      </c>
      <c r="D333" s="8" t="s">
        <v>1575</v>
      </c>
      <c r="E333" s="8">
        <v>4</v>
      </c>
      <c r="F333" s="8" t="s">
        <v>136</v>
      </c>
      <c r="G333" s="8">
        <v>1</v>
      </c>
      <c r="H333" s="8" t="s">
        <v>1579</v>
      </c>
      <c r="I333" s="8" t="s">
        <v>1368</v>
      </c>
      <c r="J333" s="8" t="s">
        <v>1572</v>
      </c>
      <c r="K333" s="8" t="s">
        <v>1287</v>
      </c>
      <c r="L333" s="8" t="s">
        <v>1369</v>
      </c>
      <c r="M333" s="8" t="s">
        <v>1580</v>
      </c>
      <c r="N333" s="8" t="s">
        <v>31</v>
      </c>
      <c r="O333" s="18" t="s">
        <v>31</v>
      </c>
      <c r="P333" s="18" t="s">
        <v>31</v>
      </c>
      <c r="Q333" s="9" t="s">
        <v>1581</v>
      </c>
      <c r="R333" s="8" t="s">
        <v>53</v>
      </c>
      <c r="S333" s="10">
        <v>45504</v>
      </c>
      <c r="T333" s="8" t="s">
        <v>1582</v>
      </c>
      <c r="U333" s="14" t="s">
        <v>196</v>
      </c>
      <c r="V333" s="8" t="s">
        <v>155</v>
      </c>
      <c r="W333" s="8" t="s">
        <v>1583</v>
      </c>
      <c r="X333" s="8" t="s">
        <v>58</v>
      </c>
      <c r="Y333" s="8" t="s">
        <v>58</v>
      </c>
      <c r="Z333" s="8" t="s">
        <v>31</v>
      </c>
      <c r="AA333" s="8" t="s">
        <v>1584</v>
      </c>
      <c r="AE333" s="18"/>
      <c r="AF333" s="18"/>
      <c r="AG333" s="18"/>
      <c r="AH333" s="18"/>
      <c r="AI333" s="18"/>
      <c r="AJ333" s="18"/>
      <c r="AK333" s="18"/>
      <c r="AL333" s="18"/>
      <c r="AM333" s="18"/>
      <c r="AN333" s="18"/>
    </row>
    <row r="334" spans="1:40">
      <c r="A334" s="8">
        <v>333</v>
      </c>
      <c r="B334" s="8" t="s">
        <v>1585</v>
      </c>
      <c r="C334" s="8" t="s">
        <v>1574</v>
      </c>
      <c r="D334" s="8" t="s">
        <v>1575</v>
      </c>
      <c r="E334" s="8">
        <v>4</v>
      </c>
      <c r="F334" s="8" t="str">
        <f>IF(E334=0,"Overall",IF(E334=1,"Category",IF(E334=2,"Sub-category",IF(E334=3,"Indicator",IF(E334=4,"Sub-indicator", "Sub-sub-indicator")))))</f>
        <v>Sub-indicator</v>
      </c>
      <c r="G334" s="8">
        <v>1</v>
      </c>
      <c r="H334" s="8" t="s">
        <v>1586</v>
      </c>
      <c r="I334" s="8" t="s">
        <v>367</v>
      </c>
      <c r="J334" s="8" t="str">
        <f t="shared" ref="J334:J354" si="32">$H$331</f>
        <v>INFRASTRUCTURE</v>
      </c>
      <c r="K334" s="8" t="str">
        <f t="shared" ref="K334:K361" si="33">$H$274</f>
        <v>FOUNDATIONS FOR ECONOMIC OPPORTUNITY</v>
      </c>
      <c r="L334" s="8" t="s">
        <v>368</v>
      </c>
      <c r="M334" s="8" t="s">
        <v>369</v>
      </c>
      <c r="N334" s="8" t="s">
        <v>31</v>
      </c>
      <c r="O334" s="8" t="s">
        <v>31</v>
      </c>
      <c r="P334" s="8" t="s">
        <v>31</v>
      </c>
      <c r="Q334" s="9" t="s">
        <v>1587</v>
      </c>
      <c r="R334" s="8" t="s">
        <v>1336</v>
      </c>
      <c r="S334" s="10">
        <v>45484</v>
      </c>
      <c r="T334" s="8" t="s">
        <v>1588</v>
      </c>
      <c r="U334" s="14" t="s">
        <v>372</v>
      </c>
      <c r="V334" s="8" t="s">
        <v>155</v>
      </c>
      <c r="W334" s="8" t="s">
        <v>373</v>
      </c>
      <c r="X334" s="8" t="s">
        <v>1589</v>
      </c>
      <c r="Y334" s="8" t="s">
        <v>1559</v>
      </c>
      <c r="Z334" s="8" t="s">
        <v>31</v>
      </c>
      <c r="AA334" s="8" t="s">
        <v>376</v>
      </c>
    </row>
    <row r="335" spans="1:40">
      <c r="A335" s="8">
        <v>334</v>
      </c>
      <c r="B335" s="8" t="s">
        <v>1590</v>
      </c>
      <c r="C335" s="8" t="s">
        <v>1574</v>
      </c>
      <c r="D335" s="8" t="s">
        <v>1575</v>
      </c>
      <c r="E335" s="8">
        <v>4</v>
      </c>
      <c r="F335" s="8" t="str">
        <f>IF(E335=0,"Overall",IF(E335=1,"Category",IF(E335=2,"Sub-category",IF(E335=3,"Indicator",IF(E335=4,"Sub-indicator", "Sub-sub-indicator")))))</f>
        <v>Sub-indicator</v>
      </c>
      <c r="G335" s="8">
        <v>1</v>
      </c>
      <c r="H335" s="8" t="s">
        <v>1591</v>
      </c>
      <c r="I335" s="8" t="s">
        <v>367</v>
      </c>
      <c r="J335" s="8" t="str">
        <f t="shared" si="32"/>
        <v>INFRASTRUCTURE</v>
      </c>
      <c r="K335" s="8" t="str">
        <f t="shared" si="33"/>
        <v>FOUNDATIONS FOR ECONOMIC OPPORTUNITY</v>
      </c>
      <c r="L335" s="8" t="s">
        <v>368</v>
      </c>
      <c r="M335" s="8" t="s">
        <v>369</v>
      </c>
      <c r="N335" s="8" t="s">
        <v>31</v>
      </c>
      <c r="O335" s="8" t="s">
        <v>31</v>
      </c>
      <c r="P335" s="8" t="s">
        <v>31</v>
      </c>
      <c r="Q335" s="9" t="s">
        <v>1592</v>
      </c>
      <c r="R335" s="8" t="s">
        <v>181</v>
      </c>
      <c r="S335" s="10">
        <v>45484</v>
      </c>
      <c r="T335" s="8" t="s">
        <v>1593</v>
      </c>
      <c r="U335" s="14" t="s">
        <v>372</v>
      </c>
      <c r="V335" s="8" t="s">
        <v>155</v>
      </c>
      <c r="W335" s="8" t="s">
        <v>373</v>
      </c>
      <c r="X335" s="8" t="s">
        <v>374</v>
      </c>
      <c r="Y335" s="8" t="s">
        <v>375</v>
      </c>
      <c r="Z335" s="8" t="s">
        <v>31</v>
      </c>
      <c r="AA335" s="8" t="s">
        <v>376</v>
      </c>
    </row>
    <row r="336" spans="1:40">
      <c r="A336" s="8">
        <v>335</v>
      </c>
      <c r="B336" s="8" t="s">
        <v>1594</v>
      </c>
      <c r="C336" s="8" t="s">
        <v>1571</v>
      </c>
      <c r="D336" s="8" t="s">
        <v>1572</v>
      </c>
      <c r="E336" s="12">
        <v>3</v>
      </c>
      <c r="F336" s="12" t="str">
        <f>IF(E336=0,"Overall",IF(E336=1,"Category",IF(E336=2,"Sub-category",IF(E336=3,"Indicator",IF(E336=4,"Sub-indicator", "Sub-sub-indicator")))))</f>
        <v>Indicator</v>
      </c>
      <c r="G336" s="8">
        <v>0</v>
      </c>
      <c r="H336" s="12" t="s">
        <v>1595</v>
      </c>
      <c r="I336" s="8" t="s">
        <v>1596</v>
      </c>
      <c r="J336" s="8" t="str">
        <f t="shared" si="32"/>
        <v>INFRASTRUCTURE</v>
      </c>
      <c r="K336" s="8" t="str">
        <f t="shared" si="33"/>
        <v>FOUNDATIONS FOR ECONOMIC OPPORTUNITY</v>
      </c>
      <c r="L336" s="8" t="s">
        <v>33</v>
      </c>
      <c r="M336" s="8" t="s">
        <v>31</v>
      </c>
      <c r="N336" s="8" t="s">
        <v>31</v>
      </c>
      <c r="O336" s="8" t="s">
        <v>31</v>
      </c>
      <c r="P336" s="8" t="s">
        <v>31</v>
      </c>
      <c r="Q336" s="9" t="s">
        <v>1597</v>
      </c>
      <c r="R336" s="8" t="s">
        <v>31</v>
      </c>
      <c r="S336" s="10" t="s">
        <v>31</v>
      </c>
      <c r="T336" s="8" t="s">
        <v>31</v>
      </c>
      <c r="U336" s="14" t="s">
        <v>31</v>
      </c>
      <c r="V336" s="8" t="s">
        <v>31</v>
      </c>
      <c r="W336" s="8" t="s">
        <v>31</v>
      </c>
      <c r="X336" s="8" t="s">
        <v>31</v>
      </c>
      <c r="Y336" s="8" t="s">
        <v>31</v>
      </c>
      <c r="Z336" s="8" t="s">
        <v>31</v>
      </c>
    </row>
    <row r="337" spans="1:27">
      <c r="A337" s="8">
        <v>336</v>
      </c>
      <c r="B337" s="8" t="s">
        <v>1598</v>
      </c>
      <c r="C337" s="8" t="s">
        <v>1594</v>
      </c>
      <c r="D337" s="8" t="s">
        <v>1595</v>
      </c>
      <c r="E337" s="8">
        <v>4</v>
      </c>
      <c r="F337" s="8" t="s">
        <v>136</v>
      </c>
      <c r="G337" s="8">
        <v>1</v>
      </c>
      <c r="H337" s="8" t="s">
        <v>1599</v>
      </c>
      <c r="I337" s="8" t="s">
        <v>719</v>
      </c>
      <c r="J337" s="8" t="str">
        <f t="shared" si="32"/>
        <v>INFRASTRUCTURE</v>
      </c>
      <c r="K337" s="8" t="str">
        <f t="shared" si="33"/>
        <v>FOUNDATIONS FOR ECONOMIC OPPORTUNITY</v>
      </c>
      <c r="L337" s="8" t="s">
        <v>720</v>
      </c>
      <c r="M337" s="8" t="s">
        <v>1555</v>
      </c>
      <c r="N337" s="8" t="s">
        <v>31</v>
      </c>
      <c r="O337" s="8" t="s">
        <v>31</v>
      </c>
      <c r="P337" s="8" t="s">
        <v>31</v>
      </c>
      <c r="Q337" s="9" t="s">
        <v>1600</v>
      </c>
      <c r="R337" s="8" t="s">
        <v>1108</v>
      </c>
      <c r="S337" s="10">
        <v>45454</v>
      </c>
      <c r="T337" s="8" t="s">
        <v>1601</v>
      </c>
      <c r="U337" s="14" t="s">
        <v>196</v>
      </c>
      <c r="V337" s="8" t="s">
        <v>155</v>
      </c>
      <c r="W337" s="8" t="s">
        <v>1558</v>
      </c>
      <c r="X337" s="8" t="s">
        <v>58</v>
      </c>
      <c r="Y337" s="8" t="s">
        <v>58</v>
      </c>
      <c r="Z337" s="8" t="s">
        <v>31</v>
      </c>
    </row>
    <row r="338" spans="1:27">
      <c r="A338" s="8">
        <v>337</v>
      </c>
      <c r="B338" s="8" t="s">
        <v>1602</v>
      </c>
      <c r="C338" s="8" t="s">
        <v>1594</v>
      </c>
      <c r="D338" s="8" t="s">
        <v>1595</v>
      </c>
      <c r="E338" s="8">
        <v>4</v>
      </c>
      <c r="F338" s="8" t="s">
        <v>136</v>
      </c>
      <c r="G338" s="8">
        <v>1</v>
      </c>
      <c r="H338" s="8" t="s">
        <v>1603</v>
      </c>
      <c r="I338" s="8" t="s">
        <v>177</v>
      </c>
      <c r="J338" s="8" t="str">
        <f t="shared" si="32"/>
        <v>INFRASTRUCTURE</v>
      </c>
      <c r="K338" s="8" t="str">
        <f t="shared" si="33"/>
        <v>FOUNDATIONS FOR ECONOMIC OPPORTUNITY</v>
      </c>
      <c r="L338" s="8" t="s">
        <v>178</v>
      </c>
      <c r="M338" s="8" t="s">
        <v>179</v>
      </c>
      <c r="N338" s="8" t="s">
        <v>31</v>
      </c>
      <c r="O338" s="8" t="s">
        <v>31</v>
      </c>
      <c r="P338" s="8" t="s">
        <v>31</v>
      </c>
      <c r="Q338" s="9" t="s">
        <v>1604</v>
      </c>
      <c r="R338" s="8" t="s">
        <v>97</v>
      </c>
      <c r="S338" s="10">
        <v>45456</v>
      </c>
      <c r="T338" s="8" t="s">
        <v>1605</v>
      </c>
      <c r="U338" s="14" t="s">
        <v>196</v>
      </c>
      <c r="V338" s="8" t="s">
        <v>155</v>
      </c>
      <c r="W338" s="8" t="s">
        <v>1606</v>
      </c>
      <c r="X338" s="8" t="s">
        <v>375</v>
      </c>
      <c r="Y338" s="8" t="s">
        <v>58</v>
      </c>
      <c r="Z338" s="8" t="s">
        <v>31</v>
      </c>
    </row>
    <row r="339" spans="1:27">
      <c r="A339" s="8">
        <v>338</v>
      </c>
      <c r="B339" s="8" t="s">
        <v>1607</v>
      </c>
      <c r="C339" s="8" t="s">
        <v>1571</v>
      </c>
      <c r="D339" s="8" t="s">
        <v>1572</v>
      </c>
      <c r="E339" s="12">
        <v>3</v>
      </c>
      <c r="F339" s="12" t="str">
        <f t="shared" ref="F339:F348" si="34">IF(E339=0,"Overall",IF(E339=1,"Category",IF(E339=2,"Sub-category",IF(E339=3,"Indicator",IF(E339=4,"Sub-indicator", "Sub-sub-indicator")))))</f>
        <v>Indicator</v>
      </c>
      <c r="G339" s="8">
        <v>0</v>
      </c>
      <c r="H339" s="12" t="s">
        <v>1608</v>
      </c>
      <c r="I339" s="8" t="s">
        <v>1609</v>
      </c>
      <c r="J339" s="8" t="str">
        <f t="shared" si="32"/>
        <v>INFRASTRUCTURE</v>
      </c>
      <c r="K339" s="8" t="str">
        <f t="shared" si="33"/>
        <v>FOUNDATIONS FOR ECONOMIC OPPORTUNITY</v>
      </c>
      <c r="L339" s="8" t="s">
        <v>33</v>
      </c>
      <c r="M339" s="8" t="s">
        <v>31</v>
      </c>
      <c r="N339" s="8" t="s">
        <v>31</v>
      </c>
      <c r="O339" s="8" t="s">
        <v>31</v>
      </c>
      <c r="P339" s="8" t="s">
        <v>31</v>
      </c>
      <c r="Q339" s="9" t="s">
        <v>1610</v>
      </c>
      <c r="R339" s="8" t="s">
        <v>31</v>
      </c>
      <c r="S339" s="10" t="s">
        <v>31</v>
      </c>
      <c r="T339" s="8" t="s">
        <v>31</v>
      </c>
      <c r="U339" s="14" t="s">
        <v>31</v>
      </c>
      <c r="V339" s="8" t="s">
        <v>31</v>
      </c>
      <c r="W339" s="8" t="s">
        <v>31</v>
      </c>
      <c r="X339" s="8" t="s">
        <v>31</v>
      </c>
      <c r="Y339" s="8" t="s">
        <v>31</v>
      </c>
      <c r="Z339" s="8" t="s">
        <v>31</v>
      </c>
    </row>
    <row r="340" spans="1:27">
      <c r="A340" s="8">
        <v>339</v>
      </c>
      <c r="B340" s="8" t="s">
        <v>1611</v>
      </c>
      <c r="C340" s="8" t="s">
        <v>1607</v>
      </c>
      <c r="D340" s="8" t="s">
        <v>1608</v>
      </c>
      <c r="E340" s="8">
        <v>4</v>
      </c>
      <c r="F340" s="8" t="str">
        <f t="shared" si="34"/>
        <v>Sub-indicator</v>
      </c>
      <c r="G340" s="8">
        <v>1</v>
      </c>
      <c r="H340" s="8" t="s">
        <v>1612</v>
      </c>
      <c r="I340" s="8" t="s">
        <v>1609</v>
      </c>
      <c r="J340" s="8" t="str">
        <f t="shared" si="32"/>
        <v>INFRASTRUCTURE</v>
      </c>
      <c r="K340" s="8" t="str">
        <f t="shared" si="33"/>
        <v>FOUNDATIONS FOR ECONOMIC OPPORTUNITY</v>
      </c>
      <c r="L340" s="8" t="s">
        <v>1613</v>
      </c>
      <c r="M340" s="8" t="s">
        <v>1614</v>
      </c>
      <c r="N340" s="8" t="s">
        <v>31</v>
      </c>
      <c r="O340" s="8" t="s">
        <v>31</v>
      </c>
      <c r="P340" s="8" t="s">
        <v>31</v>
      </c>
      <c r="Q340" s="9" t="s">
        <v>1615</v>
      </c>
      <c r="R340" s="8" t="s">
        <v>53</v>
      </c>
      <c r="S340" s="10">
        <v>45490</v>
      </c>
      <c r="T340" s="8" t="s">
        <v>1616</v>
      </c>
      <c r="U340" s="14" t="s">
        <v>196</v>
      </c>
      <c r="V340" s="8" t="s">
        <v>155</v>
      </c>
      <c r="W340" s="8" t="s">
        <v>1617</v>
      </c>
      <c r="X340" s="8" t="s">
        <v>58</v>
      </c>
      <c r="Y340" s="8" t="s">
        <v>58</v>
      </c>
      <c r="Z340" s="8" t="s">
        <v>31</v>
      </c>
    </row>
    <row r="341" spans="1:27">
      <c r="A341" s="8">
        <v>340</v>
      </c>
      <c r="B341" s="8" t="s">
        <v>1618</v>
      </c>
      <c r="C341" s="8" t="s">
        <v>1607</v>
      </c>
      <c r="D341" s="8" t="s">
        <v>1608</v>
      </c>
      <c r="E341" s="8">
        <v>4</v>
      </c>
      <c r="F341" s="8" t="str">
        <f t="shared" si="34"/>
        <v>Sub-indicator</v>
      </c>
      <c r="G341" s="8">
        <v>1</v>
      </c>
      <c r="H341" s="8" t="s">
        <v>1619</v>
      </c>
      <c r="I341" s="8" t="s">
        <v>1609</v>
      </c>
      <c r="J341" s="8" t="str">
        <f t="shared" si="32"/>
        <v>INFRASTRUCTURE</v>
      </c>
      <c r="K341" s="8" t="str">
        <f t="shared" si="33"/>
        <v>FOUNDATIONS FOR ECONOMIC OPPORTUNITY</v>
      </c>
      <c r="L341" s="8" t="s">
        <v>1613</v>
      </c>
      <c r="M341" s="8" t="s">
        <v>1614</v>
      </c>
      <c r="N341" s="8" t="s">
        <v>31</v>
      </c>
      <c r="O341" s="8" t="s">
        <v>31</v>
      </c>
      <c r="P341" s="8" t="s">
        <v>31</v>
      </c>
      <c r="Q341" s="9" t="s">
        <v>1620</v>
      </c>
      <c r="R341" s="8" t="s">
        <v>53</v>
      </c>
      <c r="S341" s="10">
        <v>45490</v>
      </c>
      <c r="T341" s="8" t="s">
        <v>1621</v>
      </c>
      <c r="U341" s="14" t="s">
        <v>196</v>
      </c>
      <c r="V341" s="8" t="s">
        <v>155</v>
      </c>
      <c r="W341" s="8" t="s">
        <v>1617</v>
      </c>
      <c r="X341" s="8" t="s">
        <v>58</v>
      </c>
      <c r="Y341" s="8" t="s">
        <v>58</v>
      </c>
      <c r="Z341" s="8" t="s">
        <v>31</v>
      </c>
    </row>
    <row r="342" spans="1:27">
      <c r="A342" s="8">
        <v>341</v>
      </c>
      <c r="B342" s="8" t="s">
        <v>1622</v>
      </c>
      <c r="C342" s="8" t="s">
        <v>1607</v>
      </c>
      <c r="D342" s="8" t="s">
        <v>1608</v>
      </c>
      <c r="E342" s="8">
        <v>4</v>
      </c>
      <c r="F342" s="8" t="str">
        <f t="shared" si="34"/>
        <v>Sub-indicator</v>
      </c>
      <c r="G342" s="8">
        <v>1</v>
      </c>
      <c r="H342" s="8" t="s">
        <v>1623</v>
      </c>
      <c r="I342" s="8" t="s">
        <v>1609</v>
      </c>
      <c r="J342" s="8" t="str">
        <f t="shared" si="32"/>
        <v>INFRASTRUCTURE</v>
      </c>
      <c r="K342" s="8" t="str">
        <f t="shared" si="33"/>
        <v>FOUNDATIONS FOR ECONOMIC OPPORTUNITY</v>
      </c>
      <c r="L342" s="8" t="s">
        <v>1613</v>
      </c>
      <c r="M342" s="8" t="s">
        <v>1614</v>
      </c>
      <c r="N342" s="8" t="s">
        <v>31</v>
      </c>
      <c r="O342" s="8" t="s">
        <v>31</v>
      </c>
      <c r="P342" s="8" t="s">
        <v>31</v>
      </c>
      <c r="Q342" s="9" t="s">
        <v>1624</v>
      </c>
      <c r="R342" s="8" t="s">
        <v>963</v>
      </c>
      <c r="S342" s="10">
        <v>45511</v>
      </c>
      <c r="T342" s="8" t="s">
        <v>1625</v>
      </c>
      <c r="U342" s="14" t="s">
        <v>55</v>
      </c>
      <c r="V342" s="8" t="s">
        <v>56</v>
      </c>
      <c r="W342" s="8" t="s">
        <v>1617</v>
      </c>
      <c r="X342" s="8" t="s">
        <v>58</v>
      </c>
      <c r="Y342" s="8" t="s">
        <v>2382</v>
      </c>
      <c r="Z342" s="8" t="s">
        <v>59</v>
      </c>
      <c r="AA342" s="8" t="s">
        <v>1626</v>
      </c>
    </row>
    <row r="343" spans="1:27">
      <c r="A343" s="8">
        <v>342</v>
      </c>
      <c r="B343" s="8" t="s">
        <v>1627</v>
      </c>
      <c r="C343" s="8" t="s">
        <v>1571</v>
      </c>
      <c r="D343" s="8" t="s">
        <v>1572</v>
      </c>
      <c r="E343" s="12">
        <v>3</v>
      </c>
      <c r="F343" s="12" t="str">
        <f t="shared" si="34"/>
        <v>Indicator</v>
      </c>
      <c r="G343" s="8">
        <v>0</v>
      </c>
      <c r="H343" s="12" t="s">
        <v>1628</v>
      </c>
      <c r="I343" s="8" t="s">
        <v>1629</v>
      </c>
      <c r="J343" s="8" t="str">
        <f t="shared" si="32"/>
        <v>INFRASTRUCTURE</v>
      </c>
      <c r="K343" s="8" t="str">
        <f t="shared" si="33"/>
        <v>FOUNDATIONS FOR ECONOMIC OPPORTUNITY</v>
      </c>
      <c r="L343" s="8" t="s">
        <v>33</v>
      </c>
      <c r="M343" s="8" t="s">
        <v>31</v>
      </c>
      <c r="N343" s="8" t="s">
        <v>31</v>
      </c>
      <c r="O343" s="8" t="s">
        <v>31</v>
      </c>
      <c r="P343" s="8" t="s">
        <v>31</v>
      </c>
      <c r="Q343" s="9" t="s">
        <v>1630</v>
      </c>
      <c r="R343" s="8" t="s">
        <v>31</v>
      </c>
      <c r="S343" s="10" t="s">
        <v>31</v>
      </c>
      <c r="T343" s="8" t="s">
        <v>31</v>
      </c>
      <c r="U343" s="14" t="s">
        <v>31</v>
      </c>
      <c r="V343" s="8" t="s">
        <v>31</v>
      </c>
      <c r="W343" s="8" t="s">
        <v>31</v>
      </c>
      <c r="X343" s="8" t="s">
        <v>31</v>
      </c>
      <c r="Y343" s="8" t="s">
        <v>31</v>
      </c>
      <c r="Z343" s="8" t="s">
        <v>31</v>
      </c>
    </row>
    <row r="344" spans="1:27">
      <c r="A344" s="8">
        <v>343</v>
      </c>
      <c r="B344" s="8" t="s">
        <v>1631</v>
      </c>
      <c r="C344" s="8" t="s">
        <v>1627</v>
      </c>
      <c r="D344" s="8" t="s">
        <v>1628</v>
      </c>
      <c r="E344" s="8">
        <v>4</v>
      </c>
      <c r="F344" s="8" t="str">
        <f t="shared" si="34"/>
        <v>Sub-indicator</v>
      </c>
      <c r="G344" s="8">
        <v>1</v>
      </c>
      <c r="H344" s="8" t="s">
        <v>1632</v>
      </c>
      <c r="I344" s="8" t="s">
        <v>1609</v>
      </c>
      <c r="J344" s="8" t="str">
        <f t="shared" si="32"/>
        <v>INFRASTRUCTURE</v>
      </c>
      <c r="K344" s="8" t="str">
        <f t="shared" si="33"/>
        <v>FOUNDATIONS FOR ECONOMIC OPPORTUNITY</v>
      </c>
      <c r="L344" s="8" t="s">
        <v>1613</v>
      </c>
      <c r="M344" s="8" t="s">
        <v>1614</v>
      </c>
      <c r="N344" s="8" t="s">
        <v>31</v>
      </c>
      <c r="O344" s="8" t="s">
        <v>31</v>
      </c>
      <c r="P344" s="8" t="s">
        <v>31</v>
      </c>
      <c r="Q344" s="9" t="s">
        <v>1633</v>
      </c>
      <c r="R344" s="8" t="s">
        <v>53</v>
      </c>
      <c r="S344" s="10">
        <v>45490</v>
      </c>
      <c r="T344" s="8" t="s">
        <v>1634</v>
      </c>
      <c r="U344" s="14" t="s">
        <v>196</v>
      </c>
      <c r="V344" s="8" t="s">
        <v>155</v>
      </c>
      <c r="W344" s="8" t="s">
        <v>1617</v>
      </c>
      <c r="X344" s="8" t="s">
        <v>1635</v>
      </c>
      <c r="Y344" s="8" t="s">
        <v>1636</v>
      </c>
      <c r="Z344" s="8" t="s">
        <v>31</v>
      </c>
      <c r="AA344" s="8" t="s">
        <v>1637</v>
      </c>
    </row>
    <row r="345" spans="1:27">
      <c r="A345" s="8">
        <v>344</v>
      </c>
      <c r="B345" s="8" t="s">
        <v>1638</v>
      </c>
      <c r="C345" s="8" t="s">
        <v>1627</v>
      </c>
      <c r="D345" s="8" t="s">
        <v>1628</v>
      </c>
      <c r="E345" s="8">
        <v>4</v>
      </c>
      <c r="F345" s="8" t="str">
        <f t="shared" si="34"/>
        <v>Sub-indicator</v>
      </c>
      <c r="G345" s="8">
        <v>1</v>
      </c>
      <c r="H345" s="8" t="s">
        <v>1639</v>
      </c>
      <c r="I345" s="8" t="s">
        <v>1609</v>
      </c>
      <c r="J345" s="8" t="str">
        <f t="shared" si="32"/>
        <v>INFRASTRUCTURE</v>
      </c>
      <c r="K345" s="8" t="str">
        <f t="shared" si="33"/>
        <v>FOUNDATIONS FOR ECONOMIC OPPORTUNITY</v>
      </c>
      <c r="L345" s="8" t="s">
        <v>1613</v>
      </c>
      <c r="M345" s="8" t="s">
        <v>1614</v>
      </c>
      <c r="N345" s="8" t="s">
        <v>31</v>
      </c>
      <c r="O345" s="8" t="s">
        <v>31</v>
      </c>
      <c r="P345" s="8" t="s">
        <v>31</v>
      </c>
      <c r="Q345" s="9" t="s">
        <v>1640</v>
      </c>
      <c r="R345" s="8" t="s">
        <v>53</v>
      </c>
      <c r="S345" s="10">
        <v>45490</v>
      </c>
      <c r="T345" s="8" t="s">
        <v>1641</v>
      </c>
      <c r="U345" s="14" t="s">
        <v>196</v>
      </c>
      <c r="V345" s="8" t="s">
        <v>155</v>
      </c>
      <c r="W345" s="8" t="s">
        <v>1617</v>
      </c>
      <c r="X345" s="8" t="s">
        <v>58</v>
      </c>
      <c r="Y345" s="8" t="s">
        <v>58</v>
      </c>
      <c r="Z345" s="8" t="s">
        <v>31</v>
      </c>
    </row>
    <row r="346" spans="1:27">
      <c r="A346" s="8">
        <v>345</v>
      </c>
      <c r="B346" s="8" t="s">
        <v>1642</v>
      </c>
      <c r="C346" s="8" t="s">
        <v>1627</v>
      </c>
      <c r="D346" s="8" t="s">
        <v>1628</v>
      </c>
      <c r="E346" s="8">
        <v>4</v>
      </c>
      <c r="F346" s="8" t="str">
        <f t="shared" si="34"/>
        <v>Sub-indicator</v>
      </c>
      <c r="G346" s="8">
        <v>1</v>
      </c>
      <c r="H346" s="8" t="s">
        <v>1643</v>
      </c>
      <c r="I346" s="8" t="s">
        <v>1609</v>
      </c>
      <c r="J346" s="8" t="str">
        <f t="shared" si="32"/>
        <v>INFRASTRUCTURE</v>
      </c>
      <c r="K346" s="8" t="str">
        <f t="shared" si="33"/>
        <v>FOUNDATIONS FOR ECONOMIC OPPORTUNITY</v>
      </c>
      <c r="L346" s="8" t="s">
        <v>1613</v>
      </c>
      <c r="M346" s="8" t="s">
        <v>1614</v>
      </c>
      <c r="N346" s="8" t="s">
        <v>31</v>
      </c>
      <c r="O346" s="8" t="s">
        <v>31</v>
      </c>
      <c r="P346" s="8" t="s">
        <v>31</v>
      </c>
      <c r="Q346" s="9" t="s">
        <v>1644</v>
      </c>
      <c r="R346" s="8" t="s">
        <v>53</v>
      </c>
      <c r="S346" s="10">
        <v>45511</v>
      </c>
      <c r="T346" s="8" t="s">
        <v>1645</v>
      </c>
      <c r="U346" s="14" t="s">
        <v>55</v>
      </c>
      <c r="V346" s="8" t="s">
        <v>155</v>
      </c>
      <c r="W346" s="8" t="s">
        <v>1617</v>
      </c>
      <c r="X346" s="8" t="s">
        <v>58</v>
      </c>
      <c r="Y346" s="8" t="s">
        <v>375</v>
      </c>
      <c r="Z346" s="8" t="s">
        <v>59</v>
      </c>
    </row>
    <row r="347" spans="1:27">
      <c r="A347" s="8">
        <v>346</v>
      </c>
      <c r="B347" s="8" t="s">
        <v>1646</v>
      </c>
      <c r="C347" s="8" t="s">
        <v>1627</v>
      </c>
      <c r="D347" s="8" t="s">
        <v>1628</v>
      </c>
      <c r="E347" s="8">
        <v>4</v>
      </c>
      <c r="F347" s="8" t="str">
        <f t="shared" si="34"/>
        <v>Sub-indicator</v>
      </c>
      <c r="G347" s="8">
        <v>1</v>
      </c>
      <c r="H347" s="8" t="s">
        <v>1647</v>
      </c>
      <c r="I347" s="8" t="s">
        <v>1648</v>
      </c>
      <c r="J347" s="8" t="str">
        <f t="shared" si="32"/>
        <v>INFRASTRUCTURE</v>
      </c>
      <c r="K347" s="8" t="str">
        <f t="shared" si="33"/>
        <v>FOUNDATIONS FOR ECONOMIC OPPORTUNITY</v>
      </c>
      <c r="L347" s="8" t="s">
        <v>1648</v>
      </c>
      <c r="M347" s="8" t="s">
        <v>1649</v>
      </c>
      <c r="N347" s="8" t="s">
        <v>31</v>
      </c>
      <c r="O347" s="8" t="s">
        <v>31</v>
      </c>
      <c r="P347" s="8" t="s">
        <v>31</v>
      </c>
      <c r="Q347" s="9" t="s">
        <v>1650</v>
      </c>
      <c r="R347" s="8" t="s">
        <v>390</v>
      </c>
      <c r="S347" s="10">
        <v>45488</v>
      </c>
      <c r="T347" s="8" t="s">
        <v>1651</v>
      </c>
      <c r="U347" s="14" t="s">
        <v>1652</v>
      </c>
      <c r="V347" s="8" t="s">
        <v>56</v>
      </c>
      <c r="W347" s="8" t="s">
        <v>1653</v>
      </c>
      <c r="X347" s="8" t="s">
        <v>1654</v>
      </c>
      <c r="Y347" s="8" t="s">
        <v>1655</v>
      </c>
      <c r="Z347" s="8" t="s">
        <v>59</v>
      </c>
    </row>
    <row r="348" spans="1:27">
      <c r="A348" s="8">
        <v>347</v>
      </c>
      <c r="B348" s="8" t="s">
        <v>1656</v>
      </c>
      <c r="C348" s="8" t="s">
        <v>1627</v>
      </c>
      <c r="D348" s="8" t="s">
        <v>1628</v>
      </c>
      <c r="E348" s="8">
        <v>4</v>
      </c>
      <c r="F348" s="8" t="str">
        <f t="shared" si="34"/>
        <v>Sub-indicator</v>
      </c>
      <c r="G348" s="8">
        <v>1</v>
      </c>
      <c r="H348" s="8" t="s">
        <v>1657</v>
      </c>
      <c r="I348" s="8" t="s">
        <v>719</v>
      </c>
      <c r="J348" s="8" t="str">
        <f t="shared" si="32"/>
        <v>INFRASTRUCTURE</v>
      </c>
      <c r="K348" s="8" t="str">
        <f t="shared" si="33"/>
        <v>FOUNDATIONS FOR ECONOMIC OPPORTUNITY</v>
      </c>
      <c r="L348" s="8" t="s">
        <v>720</v>
      </c>
      <c r="M348" s="8" t="s">
        <v>1555</v>
      </c>
      <c r="N348" s="8" t="s">
        <v>31</v>
      </c>
      <c r="O348" s="8" t="s">
        <v>31</v>
      </c>
      <c r="P348" s="8" t="s">
        <v>31</v>
      </c>
      <c r="Q348" s="9" t="s">
        <v>1658</v>
      </c>
      <c r="R348" s="8" t="s">
        <v>1659</v>
      </c>
      <c r="S348" s="10">
        <v>45454</v>
      </c>
      <c r="T348" s="8" t="s">
        <v>1660</v>
      </c>
      <c r="U348" s="14" t="s">
        <v>1661</v>
      </c>
      <c r="V348" s="8" t="s">
        <v>155</v>
      </c>
      <c r="W348" s="8" t="s">
        <v>1662</v>
      </c>
      <c r="X348" s="8" t="s">
        <v>58</v>
      </c>
      <c r="Y348" s="8" t="s">
        <v>58</v>
      </c>
      <c r="Z348" s="8" t="s">
        <v>59</v>
      </c>
    </row>
    <row r="349" spans="1:27">
      <c r="A349" s="8">
        <v>348</v>
      </c>
      <c r="B349" s="8" t="s">
        <v>1663</v>
      </c>
      <c r="C349" s="8" t="s">
        <v>1571</v>
      </c>
      <c r="D349" s="8" t="s">
        <v>1572</v>
      </c>
      <c r="E349" s="12">
        <v>3</v>
      </c>
      <c r="F349" s="12" t="s">
        <v>186</v>
      </c>
      <c r="G349" s="8">
        <v>0</v>
      </c>
      <c r="H349" s="12" t="s">
        <v>1664</v>
      </c>
      <c r="I349" s="8" t="s">
        <v>1665</v>
      </c>
      <c r="J349" s="8" t="str">
        <f t="shared" si="32"/>
        <v>INFRASTRUCTURE</v>
      </c>
      <c r="K349" s="8" t="str">
        <f t="shared" si="33"/>
        <v>FOUNDATIONS FOR ECONOMIC OPPORTUNITY</v>
      </c>
      <c r="L349" s="8" t="s">
        <v>33</v>
      </c>
      <c r="M349" s="8" t="s">
        <v>31</v>
      </c>
      <c r="N349" s="8" t="s">
        <v>31</v>
      </c>
      <c r="O349" s="8" t="s">
        <v>31</v>
      </c>
      <c r="P349" s="8" t="s">
        <v>31</v>
      </c>
      <c r="Q349" s="9" t="s">
        <v>1666</v>
      </c>
      <c r="R349" s="8" t="s">
        <v>31</v>
      </c>
      <c r="S349" s="10" t="s">
        <v>31</v>
      </c>
      <c r="T349" s="8" t="s">
        <v>31</v>
      </c>
      <c r="U349" s="8" t="s">
        <v>31</v>
      </c>
      <c r="V349" s="8" t="s">
        <v>31</v>
      </c>
      <c r="W349" s="8" t="s">
        <v>31</v>
      </c>
      <c r="X349" s="8" t="s">
        <v>31</v>
      </c>
      <c r="Y349" s="8" t="s">
        <v>31</v>
      </c>
      <c r="Z349" s="8" t="s">
        <v>31</v>
      </c>
    </row>
    <row r="350" spans="1:27">
      <c r="A350" s="8">
        <v>349</v>
      </c>
      <c r="B350" s="8" t="s">
        <v>1667</v>
      </c>
      <c r="C350" s="8" t="s">
        <v>1663</v>
      </c>
      <c r="D350" s="8" t="s">
        <v>1664</v>
      </c>
      <c r="E350" s="8">
        <v>4</v>
      </c>
      <c r="F350" s="8" t="s">
        <v>136</v>
      </c>
      <c r="G350" s="8">
        <v>1</v>
      </c>
      <c r="H350" s="8" t="s">
        <v>1668</v>
      </c>
      <c r="I350" s="8" t="s">
        <v>1432</v>
      </c>
      <c r="J350" s="8" t="str">
        <f t="shared" si="32"/>
        <v>INFRASTRUCTURE</v>
      </c>
      <c r="K350" s="8" t="str">
        <f t="shared" si="33"/>
        <v>FOUNDATIONS FOR ECONOMIC OPPORTUNITY</v>
      </c>
      <c r="L350" s="8" t="s">
        <v>1433</v>
      </c>
      <c r="M350" s="8" t="s">
        <v>1434</v>
      </c>
      <c r="N350" s="8" t="s">
        <v>1669</v>
      </c>
      <c r="O350" s="8" t="s">
        <v>31</v>
      </c>
      <c r="P350" s="8" t="s">
        <v>31</v>
      </c>
      <c r="Q350" s="8" t="s">
        <v>1670</v>
      </c>
      <c r="R350" s="8" t="s">
        <v>97</v>
      </c>
      <c r="S350" s="10">
        <v>45462</v>
      </c>
      <c r="T350" s="9" t="s">
        <v>1671</v>
      </c>
      <c r="U350" s="14" t="s">
        <v>55</v>
      </c>
      <c r="V350" s="8" t="s">
        <v>155</v>
      </c>
      <c r="W350" s="8" t="s">
        <v>1672</v>
      </c>
      <c r="X350" s="8" t="s">
        <v>1673</v>
      </c>
      <c r="Y350" s="8" t="s">
        <v>58</v>
      </c>
      <c r="Z350" s="8" t="s">
        <v>31</v>
      </c>
      <c r="AA350" s="8" t="s">
        <v>1674</v>
      </c>
    </row>
    <row r="351" spans="1:27">
      <c r="A351" s="8">
        <v>350</v>
      </c>
      <c r="B351" s="8" t="s">
        <v>1675</v>
      </c>
      <c r="C351" s="8" t="s">
        <v>1663</v>
      </c>
      <c r="D351" s="8" t="s">
        <v>1664</v>
      </c>
      <c r="E351" s="8">
        <v>4</v>
      </c>
      <c r="F351" s="8" t="s">
        <v>136</v>
      </c>
      <c r="G351" s="8">
        <v>1</v>
      </c>
      <c r="H351" s="8" t="s">
        <v>1676</v>
      </c>
      <c r="I351" s="8" t="s">
        <v>1677</v>
      </c>
      <c r="J351" s="8" t="str">
        <f t="shared" si="32"/>
        <v>INFRASTRUCTURE</v>
      </c>
      <c r="K351" s="8" t="str">
        <f t="shared" si="33"/>
        <v>FOUNDATIONS FOR ECONOMIC OPPORTUNITY</v>
      </c>
      <c r="L351" s="8" t="s">
        <v>1678</v>
      </c>
      <c r="M351" s="8" t="s">
        <v>1679</v>
      </c>
      <c r="N351" s="8" t="s">
        <v>31</v>
      </c>
      <c r="O351" s="8" t="s">
        <v>31</v>
      </c>
      <c r="P351" s="8" t="s">
        <v>31</v>
      </c>
      <c r="Q351" s="9" t="s">
        <v>1680</v>
      </c>
      <c r="R351" s="8" t="s">
        <v>1681</v>
      </c>
      <c r="S351" s="10">
        <v>45504</v>
      </c>
      <c r="T351" s="8" t="s">
        <v>1682</v>
      </c>
      <c r="U351" s="14" t="s">
        <v>196</v>
      </c>
      <c r="V351" s="8" t="s">
        <v>155</v>
      </c>
      <c r="W351" s="8" t="s">
        <v>1683</v>
      </c>
      <c r="X351" s="8" t="s">
        <v>1684</v>
      </c>
      <c r="Y351" s="8" t="s">
        <v>58</v>
      </c>
      <c r="Z351" s="8" t="s">
        <v>31</v>
      </c>
      <c r="AA351" s="8" t="s">
        <v>1685</v>
      </c>
    </row>
    <row r="352" spans="1:27">
      <c r="A352" s="8">
        <v>351</v>
      </c>
      <c r="B352" s="8" t="s">
        <v>1686</v>
      </c>
      <c r="C352" s="8" t="s">
        <v>1571</v>
      </c>
      <c r="D352" s="8" t="s">
        <v>1572</v>
      </c>
      <c r="E352" s="12">
        <v>3</v>
      </c>
      <c r="F352" s="12" t="s">
        <v>186</v>
      </c>
      <c r="G352" s="8">
        <v>0</v>
      </c>
      <c r="H352" s="12" t="s">
        <v>1687</v>
      </c>
      <c r="I352" s="8" t="s">
        <v>188</v>
      </c>
      <c r="J352" s="8" t="str">
        <f t="shared" si="32"/>
        <v>INFRASTRUCTURE</v>
      </c>
      <c r="K352" s="8" t="str">
        <f t="shared" si="33"/>
        <v>FOUNDATIONS FOR ECONOMIC OPPORTUNITY</v>
      </c>
      <c r="L352" s="8" t="s">
        <v>33</v>
      </c>
      <c r="M352" s="8" t="s">
        <v>31</v>
      </c>
      <c r="N352" s="8" t="s">
        <v>31</v>
      </c>
      <c r="O352" s="8" t="s">
        <v>31</v>
      </c>
      <c r="P352" s="8" t="s">
        <v>31</v>
      </c>
      <c r="Q352" s="9" t="s">
        <v>1688</v>
      </c>
      <c r="R352" s="8" t="s">
        <v>31</v>
      </c>
      <c r="S352" s="10" t="s">
        <v>31</v>
      </c>
      <c r="T352" s="8" t="s">
        <v>31</v>
      </c>
      <c r="U352" s="14" t="s">
        <v>31</v>
      </c>
      <c r="V352" s="8" t="s">
        <v>31</v>
      </c>
      <c r="W352" s="8" t="s">
        <v>31</v>
      </c>
      <c r="X352" s="8" t="s">
        <v>31</v>
      </c>
      <c r="Y352" s="8" t="s">
        <v>31</v>
      </c>
      <c r="Z352" s="8" t="s">
        <v>31</v>
      </c>
    </row>
    <row r="353" spans="1:33">
      <c r="A353" s="8">
        <v>352</v>
      </c>
      <c r="B353" s="8" t="s">
        <v>1689</v>
      </c>
      <c r="C353" s="8" t="s">
        <v>1686</v>
      </c>
      <c r="D353" s="8" t="s">
        <v>1687</v>
      </c>
      <c r="E353" s="8">
        <v>4</v>
      </c>
      <c r="F353" s="8" t="s">
        <v>136</v>
      </c>
      <c r="G353" s="8">
        <v>1</v>
      </c>
      <c r="H353" s="8" t="s">
        <v>1690</v>
      </c>
      <c r="I353" s="8" t="s">
        <v>188</v>
      </c>
      <c r="J353" s="8" t="str">
        <f t="shared" si="32"/>
        <v>INFRASTRUCTURE</v>
      </c>
      <c r="K353" s="8" t="str">
        <f t="shared" si="33"/>
        <v>FOUNDATIONS FOR ECONOMIC OPPORTUNITY</v>
      </c>
      <c r="L353" s="8" t="s">
        <v>192</v>
      </c>
      <c r="M353" s="8" t="s">
        <v>193</v>
      </c>
      <c r="N353" s="8" t="s">
        <v>31</v>
      </c>
      <c r="O353" s="8" t="s">
        <v>31</v>
      </c>
      <c r="P353" s="8" t="s">
        <v>31</v>
      </c>
      <c r="Q353" s="8" t="s">
        <v>1691</v>
      </c>
      <c r="R353" s="8" t="s">
        <v>53</v>
      </c>
      <c r="S353" s="10">
        <v>45498</v>
      </c>
      <c r="T353" s="8" t="s">
        <v>1692</v>
      </c>
      <c r="U353" s="8" t="s">
        <v>196</v>
      </c>
      <c r="V353" s="8" t="s">
        <v>197</v>
      </c>
      <c r="W353" s="8" t="s">
        <v>198</v>
      </c>
      <c r="X353" s="8" t="s">
        <v>199</v>
      </c>
      <c r="Y353" s="8" t="s">
        <v>200</v>
      </c>
      <c r="Z353" s="8" t="s">
        <v>31</v>
      </c>
      <c r="AA353" s="8" t="s">
        <v>201</v>
      </c>
      <c r="AB353" s="8" t="s">
        <v>202</v>
      </c>
    </row>
    <row r="354" spans="1:33">
      <c r="A354" s="8">
        <v>353</v>
      </c>
      <c r="B354" s="8" t="s">
        <v>1693</v>
      </c>
      <c r="C354" s="8" t="s">
        <v>1686</v>
      </c>
      <c r="D354" s="8" t="s">
        <v>1687</v>
      </c>
      <c r="E354" s="8">
        <v>4</v>
      </c>
      <c r="F354" s="8" t="s">
        <v>136</v>
      </c>
      <c r="G354" s="8">
        <v>1</v>
      </c>
      <c r="H354" s="8" t="s">
        <v>1694</v>
      </c>
      <c r="I354" s="8" t="s">
        <v>188</v>
      </c>
      <c r="J354" s="8" t="str">
        <f t="shared" si="32"/>
        <v>INFRASTRUCTURE</v>
      </c>
      <c r="K354" s="8" t="str">
        <f t="shared" si="33"/>
        <v>FOUNDATIONS FOR ECONOMIC OPPORTUNITY</v>
      </c>
      <c r="L354" s="8" t="s">
        <v>192</v>
      </c>
      <c r="M354" s="8" t="s">
        <v>193</v>
      </c>
      <c r="N354" s="8" t="s">
        <v>31</v>
      </c>
      <c r="O354" s="8" t="s">
        <v>31</v>
      </c>
      <c r="P354" s="8" t="s">
        <v>31</v>
      </c>
      <c r="Q354" s="8" t="s">
        <v>1695</v>
      </c>
      <c r="R354" s="8" t="s">
        <v>53</v>
      </c>
      <c r="S354" s="10">
        <v>45498</v>
      </c>
      <c r="T354" s="8" t="s">
        <v>1696</v>
      </c>
      <c r="U354" s="8" t="s">
        <v>196</v>
      </c>
      <c r="V354" s="8" t="s">
        <v>197</v>
      </c>
      <c r="W354" s="8" t="s">
        <v>198</v>
      </c>
      <c r="X354" s="8" t="s">
        <v>199</v>
      </c>
      <c r="Y354" s="8" t="s">
        <v>200</v>
      </c>
      <c r="Z354" s="8" t="s">
        <v>31</v>
      </c>
      <c r="AA354" s="8" t="s">
        <v>201</v>
      </c>
      <c r="AB354" s="8" t="s">
        <v>202</v>
      </c>
      <c r="AG354" s="8" t="s">
        <v>1697</v>
      </c>
    </row>
    <row r="355" spans="1:33">
      <c r="A355" s="8">
        <v>354</v>
      </c>
      <c r="B355" s="8" t="s">
        <v>1698</v>
      </c>
      <c r="C355" s="8" t="s">
        <v>1286</v>
      </c>
      <c r="D355" s="8" t="s">
        <v>1287</v>
      </c>
      <c r="E355" s="16">
        <v>2</v>
      </c>
      <c r="F355" s="16" t="str">
        <f t="shared" ref="F355:F361" si="35">IF(E355=0,"Overall",IF(E355=1,"Category",IF(E355=2,"Sub-category",IF(E355=3,"Indicator",IF(E355=4,"Sub-indicator", "Sub-sub-indicator")))))</f>
        <v>Sub-category</v>
      </c>
      <c r="G355" s="8">
        <v>0</v>
      </c>
      <c r="H355" s="8" t="s">
        <v>1699</v>
      </c>
      <c r="I355" s="8" t="s">
        <v>31</v>
      </c>
      <c r="J355" s="8" t="s">
        <v>31</v>
      </c>
      <c r="K355" s="8" t="str">
        <f t="shared" si="33"/>
        <v>FOUNDATIONS FOR ECONOMIC OPPORTUNITY</v>
      </c>
      <c r="L355" s="8" t="s">
        <v>33</v>
      </c>
      <c r="M355" s="8" t="s">
        <v>31</v>
      </c>
      <c r="N355" s="8" t="s">
        <v>31</v>
      </c>
      <c r="O355" s="8" t="s">
        <v>31</v>
      </c>
      <c r="P355" s="8" t="s">
        <v>31</v>
      </c>
      <c r="Q355" s="8" t="s">
        <v>1700</v>
      </c>
      <c r="R355" s="8" t="s">
        <v>31</v>
      </c>
      <c r="S355" s="8" t="s">
        <v>31</v>
      </c>
      <c r="T355" s="8" t="s">
        <v>31</v>
      </c>
      <c r="U355" s="8" t="s">
        <v>31</v>
      </c>
      <c r="V355" s="8" t="s">
        <v>31</v>
      </c>
      <c r="W355" s="8" t="s">
        <v>31</v>
      </c>
      <c r="X355" s="8" t="s">
        <v>31</v>
      </c>
      <c r="Y355" s="8" t="s">
        <v>31</v>
      </c>
      <c r="Z355" s="8" t="s">
        <v>31</v>
      </c>
    </row>
    <row r="356" spans="1:33">
      <c r="A356" s="8">
        <v>355</v>
      </c>
      <c r="B356" s="8" t="s">
        <v>1701</v>
      </c>
      <c r="C356" s="8" t="s">
        <v>1698</v>
      </c>
      <c r="D356" s="8" t="s">
        <v>1699</v>
      </c>
      <c r="E356" s="12">
        <v>3</v>
      </c>
      <c r="F356" s="12" t="str">
        <f t="shared" si="35"/>
        <v>Indicator</v>
      </c>
      <c r="G356" s="8">
        <v>0</v>
      </c>
      <c r="H356" s="12" t="s">
        <v>1702</v>
      </c>
      <c r="I356" s="8" t="s">
        <v>1703</v>
      </c>
      <c r="J356" s="8" t="str">
        <f t="shared" ref="J356:J368" si="36">$H$355</f>
        <v>RURAL ECONOMY</v>
      </c>
      <c r="K356" s="8" t="str">
        <f t="shared" si="33"/>
        <v>FOUNDATIONS FOR ECONOMIC OPPORTUNITY</v>
      </c>
      <c r="L356" s="8" t="s">
        <v>33</v>
      </c>
      <c r="M356" s="8" t="s">
        <v>31</v>
      </c>
      <c r="N356" s="8" t="s">
        <v>31</v>
      </c>
      <c r="O356" s="8" t="s">
        <v>31</v>
      </c>
      <c r="P356" s="8" t="s">
        <v>31</v>
      </c>
      <c r="Q356" s="9" t="s">
        <v>1704</v>
      </c>
      <c r="R356" s="8" t="s">
        <v>31</v>
      </c>
      <c r="S356" s="10" t="s">
        <v>31</v>
      </c>
      <c r="T356" s="8" t="s">
        <v>31</v>
      </c>
      <c r="U356" s="14" t="s">
        <v>31</v>
      </c>
      <c r="V356" s="8" t="s">
        <v>31</v>
      </c>
      <c r="W356" s="8" t="s">
        <v>31</v>
      </c>
      <c r="X356" s="8" t="s">
        <v>31</v>
      </c>
      <c r="Y356" s="8" t="s">
        <v>31</v>
      </c>
      <c r="Z356" s="8" t="s">
        <v>31</v>
      </c>
    </row>
    <row r="357" spans="1:33">
      <c r="A357" s="8">
        <v>356</v>
      </c>
      <c r="B357" s="8" t="s">
        <v>1705</v>
      </c>
      <c r="C357" s="8" t="s">
        <v>1701</v>
      </c>
      <c r="D357" s="8" t="s">
        <v>1702</v>
      </c>
      <c r="E357" s="8">
        <v>4</v>
      </c>
      <c r="F357" s="8" t="str">
        <f t="shared" si="35"/>
        <v>Sub-indicator</v>
      </c>
      <c r="G357" s="8">
        <v>1</v>
      </c>
      <c r="H357" s="8" t="s">
        <v>1706</v>
      </c>
      <c r="I357" s="8" t="s">
        <v>1703</v>
      </c>
      <c r="J357" s="8" t="str">
        <f t="shared" si="36"/>
        <v>RURAL ECONOMY</v>
      </c>
      <c r="K357" s="8" t="str">
        <f t="shared" si="33"/>
        <v>FOUNDATIONS FOR ECONOMIC OPPORTUNITY</v>
      </c>
      <c r="L357" s="8" t="s">
        <v>1707</v>
      </c>
      <c r="M357" s="8" t="s">
        <v>1708</v>
      </c>
      <c r="N357" s="8" t="s">
        <v>31</v>
      </c>
      <c r="O357" s="8" t="s">
        <v>31</v>
      </c>
      <c r="P357" s="8" t="s">
        <v>31</v>
      </c>
      <c r="Q357" s="9" t="s">
        <v>1709</v>
      </c>
      <c r="R357" s="8" t="s">
        <v>1710</v>
      </c>
      <c r="S357" s="10" t="s">
        <v>1711</v>
      </c>
      <c r="T357" s="8" t="s">
        <v>1712</v>
      </c>
      <c r="U357" s="14" t="s">
        <v>1373</v>
      </c>
      <c r="V357" s="8" t="s">
        <v>155</v>
      </c>
      <c r="W357" s="8" t="s">
        <v>1713</v>
      </c>
      <c r="X357" s="8" t="s">
        <v>58</v>
      </c>
      <c r="Y357" s="8" t="s">
        <v>1714</v>
      </c>
      <c r="Z357" s="8" t="s">
        <v>31</v>
      </c>
      <c r="AA357" s="8" t="s">
        <v>1715</v>
      </c>
    </row>
    <row r="358" spans="1:33">
      <c r="A358" s="8">
        <v>357</v>
      </c>
      <c r="B358" s="8" t="s">
        <v>1716</v>
      </c>
      <c r="C358" s="8" t="s">
        <v>1701</v>
      </c>
      <c r="D358" s="8" t="s">
        <v>1702</v>
      </c>
      <c r="E358" s="8">
        <v>4</v>
      </c>
      <c r="F358" s="8" t="str">
        <f t="shared" si="35"/>
        <v>Sub-indicator</v>
      </c>
      <c r="G358" s="8">
        <v>1</v>
      </c>
      <c r="H358" s="8" t="s">
        <v>1717</v>
      </c>
      <c r="I358" s="8" t="s">
        <v>1703</v>
      </c>
      <c r="J358" s="8" t="str">
        <f t="shared" si="36"/>
        <v>RURAL ECONOMY</v>
      </c>
      <c r="K358" s="8" t="str">
        <f t="shared" si="33"/>
        <v>FOUNDATIONS FOR ECONOMIC OPPORTUNITY</v>
      </c>
      <c r="L358" s="8" t="s">
        <v>1707</v>
      </c>
      <c r="M358" s="8" t="s">
        <v>1708</v>
      </c>
      <c r="N358" s="8" t="s">
        <v>31</v>
      </c>
      <c r="O358" s="8" t="s">
        <v>31</v>
      </c>
      <c r="P358" s="8" t="s">
        <v>31</v>
      </c>
      <c r="Q358" s="9" t="s">
        <v>1718</v>
      </c>
      <c r="R358" s="8" t="s">
        <v>1710</v>
      </c>
      <c r="S358" s="10" t="s">
        <v>1711</v>
      </c>
      <c r="T358" s="8" t="s">
        <v>1719</v>
      </c>
      <c r="U358" s="14" t="s">
        <v>1373</v>
      </c>
      <c r="V358" s="8" t="s">
        <v>155</v>
      </c>
      <c r="W358" s="8" t="s">
        <v>1713</v>
      </c>
      <c r="X358" s="8" t="s">
        <v>58</v>
      </c>
      <c r="Y358" s="8" t="s">
        <v>1720</v>
      </c>
      <c r="Z358" s="8" t="s">
        <v>31</v>
      </c>
      <c r="AA358" s="8" t="s">
        <v>1721</v>
      </c>
    </row>
    <row r="359" spans="1:33">
      <c r="A359" s="8">
        <v>358</v>
      </c>
      <c r="B359" s="8" t="s">
        <v>1722</v>
      </c>
      <c r="C359" s="8" t="s">
        <v>1698</v>
      </c>
      <c r="D359" s="8" t="s">
        <v>1699</v>
      </c>
      <c r="E359" s="12">
        <v>3</v>
      </c>
      <c r="F359" s="12" t="str">
        <f t="shared" si="35"/>
        <v>Indicator</v>
      </c>
      <c r="G359" s="8">
        <v>1</v>
      </c>
      <c r="H359" s="12" t="s">
        <v>1723</v>
      </c>
      <c r="I359" s="8" t="s">
        <v>1703</v>
      </c>
      <c r="J359" s="8" t="str">
        <f t="shared" si="36"/>
        <v>RURAL ECONOMY</v>
      </c>
      <c r="K359" s="8" t="str">
        <f t="shared" si="33"/>
        <v>FOUNDATIONS FOR ECONOMIC OPPORTUNITY</v>
      </c>
      <c r="L359" s="8" t="s">
        <v>1707</v>
      </c>
      <c r="M359" s="8" t="s">
        <v>1708</v>
      </c>
      <c r="N359" s="8" t="s">
        <v>31</v>
      </c>
      <c r="O359" s="8" t="s">
        <v>31</v>
      </c>
      <c r="P359" s="8" t="s">
        <v>31</v>
      </c>
      <c r="Q359" s="9" t="s">
        <v>1724</v>
      </c>
      <c r="R359" s="8" t="s">
        <v>1710</v>
      </c>
      <c r="S359" s="10" t="s">
        <v>1711</v>
      </c>
      <c r="T359" s="8" t="s">
        <v>1725</v>
      </c>
      <c r="U359" s="14" t="s">
        <v>1373</v>
      </c>
      <c r="V359" s="8" t="s">
        <v>155</v>
      </c>
      <c r="W359" s="8" t="s">
        <v>1713</v>
      </c>
      <c r="X359" s="8" t="s">
        <v>58</v>
      </c>
      <c r="Y359" s="8" t="s">
        <v>1720</v>
      </c>
      <c r="Z359" s="8" t="s">
        <v>31</v>
      </c>
      <c r="AA359" s="8" t="s">
        <v>1721</v>
      </c>
    </row>
    <row r="360" spans="1:33">
      <c r="A360" s="8">
        <v>359</v>
      </c>
      <c r="B360" s="8" t="s">
        <v>1726</v>
      </c>
      <c r="C360" s="8" t="s">
        <v>1698</v>
      </c>
      <c r="D360" s="8" t="s">
        <v>1699</v>
      </c>
      <c r="E360" s="12">
        <v>3</v>
      </c>
      <c r="F360" s="12" t="str">
        <f t="shared" si="35"/>
        <v>Indicator</v>
      </c>
      <c r="G360" s="8">
        <v>0</v>
      </c>
      <c r="H360" s="12" t="s">
        <v>1727</v>
      </c>
      <c r="I360" s="8" t="s">
        <v>1703</v>
      </c>
      <c r="J360" s="8" t="str">
        <f t="shared" si="36"/>
        <v>RURAL ECONOMY</v>
      </c>
      <c r="K360" s="8" t="str">
        <f t="shared" si="33"/>
        <v>FOUNDATIONS FOR ECONOMIC OPPORTUNITY</v>
      </c>
      <c r="L360" s="8" t="s">
        <v>33</v>
      </c>
      <c r="M360" s="8" t="s">
        <v>31</v>
      </c>
      <c r="N360" s="8" t="s">
        <v>31</v>
      </c>
      <c r="O360" s="8" t="s">
        <v>31</v>
      </c>
      <c r="P360" s="8" t="s">
        <v>31</v>
      </c>
      <c r="Q360" s="9" t="s">
        <v>1728</v>
      </c>
      <c r="R360" s="8" t="s">
        <v>31</v>
      </c>
      <c r="S360" s="10" t="s">
        <v>31</v>
      </c>
      <c r="T360" s="8" t="s">
        <v>31</v>
      </c>
      <c r="U360" s="14" t="s">
        <v>31</v>
      </c>
      <c r="V360" s="8" t="s">
        <v>31</v>
      </c>
      <c r="W360" s="8" t="s">
        <v>31</v>
      </c>
      <c r="X360" s="8" t="s">
        <v>31</v>
      </c>
      <c r="Y360" s="8" t="s">
        <v>31</v>
      </c>
      <c r="Z360" s="8" t="s">
        <v>31</v>
      </c>
    </row>
    <row r="361" spans="1:33">
      <c r="A361" s="8">
        <v>360</v>
      </c>
      <c r="B361" s="8" t="s">
        <v>1729</v>
      </c>
      <c r="C361" s="8" t="s">
        <v>1726</v>
      </c>
      <c r="D361" s="8" t="s">
        <v>1727</v>
      </c>
      <c r="E361" s="8">
        <v>4</v>
      </c>
      <c r="F361" s="8" t="str">
        <f t="shared" si="35"/>
        <v>Sub-indicator</v>
      </c>
      <c r="G361" s="8">
        <v>0</v>
      </c>
      <c r="H361" s="8" t="s">
        <v>1730</v>
      </c>
      <c r="I361" s="8" t="s">
        <v>1703</v>
      </c>
      <c r="J361" s="8" t="str">
        <f t="shared" si="36"/>
        <v>RURAL ECONOMY</v>
      </c>
      <c r="K361" s="8" t="str">
        <f t="shared" si="33"/>
        <v>FOUNDATIONS FOR ECONOMIC OPPORTUNITY</v>
      </c>
      <c r="L361" s="8" t="s">
        <v>33</v>
      </c>
      <c r="M361" s="8" t="s">
        <v>31</v>
      </c>
      <c r="N361" s="8" t="s">
        <v>31</v>
      </c>
      <c r="O361" s="8" t="s">
        <v>31</v>
      </c>
      <c r="P361" s="8" t="s">
        <v>31</v>
      </c>
      <c r="Q361" s="9" t="s">
        <v>1731</v>
      </c>
      <c r="R361" s="8" t="s">
        <v>31</v>
      </c>
      <c r="S361" s="10" t="s">
        <v>31</v>
      </c>
      <c r="T361" s="8" t="s">
        <v>31</v>
      </c>
      <c r="U361" s="14" t="s">
        <v>31</v>
      </c>
      <c r="V361" s="8" t="s">
        <v>31</v>
      </c>
      <c r="W361" s="8" t="s">
        <v>31</v>
      </c>
      <c r="X361" s="8" t="s">
        <v>31</v>
      </c>
      <c r="Y361" s="8" t="s">
        <v>31</v>
      </c>
      <c r="Z361" s="8" t="s">
        <v>31</v>
      </c>
    </row>
    <row r="362" spans="1:33">
      <c r="A362" s="8">
        <v>361</v>
      </c>
      <c r="B362" s="8" t="s">
        <v>1732</v>
      </c>
      <c r="C362" s="8" t="s">
        <v>1729</v>
      </c>
      <c r="D362" s="8" t="s">
        <v>1730</v>
      </c>
      <c r="E362" s="8">
        <v>5</v>
      </c>
      <c r="F362" s="8" t="s">
        <v>92</v>
      </c>
      <c r="G362" s="8">
        <v>1</v>
      </c>
      <c r="H362" s="8" t="s">
        <v>1733</v>
      </c>
      <c r="I362" s="8" t="s">
        <v>1703</v>
      </c>
      <c r="J362" s="8" t="str">
        <f t="shared" si="36"/>
        <v>RURAL ECONOMY</v>
      </c>
      <c r="K362" s="8" t="s">
        <v>1287</v>
      </c>
      <c r="L362" s="8" t="s">
        <v>1707</v>
      </c>
      <c r="M362" s="8" t="s">
        <v>1708</v>
      </c>
      <c r="N362" s="8" t="s">
        <v>31</v>
      </c>
      <c r="O362" s="8" t="s">
        <v>31</v>
      </c>
      <c r="P362" s="8" t="s">
        <v>31</v>
      </c>
      <c r="Q362" s="9" t="s">
        <v>1734</v>
      </c>
      <c r="R362" s="8" t="s">
        <v>1710</v>
      </c>
      <c r="S362" s="10" t="s">
        <v>1711</v>
      </c>
      <c r="T362" s="8" t="s">
        <v>1735</v>
      </c>
      <c r="U362" s="14" t="s">
        <v>1373</v>
      </c>
      <c r="V362" s="8" t="s">
        <v>155</v>
      </c>
      <c r="W362" s="8" t="s">
        <v>1713</v>
      </c>
      <c r="X362" s="8" t="s">
        <v>58</v>
      </c>
      <c r="Y362" s="8" t="s">
        <v>1714</v>
      </c>
      <c r="Z362" s="8" t="s">
        <v>31</v>
      </c>
      <c r="AA362" s="8" t="s">
        <v>1721</v>
      </c>
    </row>
    <row r="363" spans="1:33">
      <c r="A363" s="8">
        <v>362</v>
      </c>
      <c r="B363" s="8" t="s">
        <v>1736</v>
      </c>
      <c r="C363" s="8" t="s">
        <v>1729</v>
      </c>
      <c r="D363" s="8" t="s">
        <v>1730</v>
      </c>
      <c r="E363" s="8">
        <v>5</v>
      </c>
      <c r="F363" s="8" t="str">
        <f>IF(E363=0,"Overall",IF(E363=1,"Category",IF(E363=2,"Sub-category",IF(E363=3,"Indicator",IF(E363=4,"Sub-indicator", "Sub-sub-indicator")))))</f>
        <v>Sub-sub-indicator</v>
      </c>
      <c r="G363" s="8">
        <v>1</v>
      </c>
      <c r="H363" s="8" t="s">
        <v>1737</v>
      </c>
      <c r="I363" s="8" t="s">
        <v>1703</v>
      </c>
      <c r="J363" s="8" t="str">
        <f t="shared" si="36"/>
        <v>RURAL ECONOMY</v>
      </c>
      <c r="K363" s="8" t="str">
        <f>$H$274</f>
        <v>FOUNDATIONS FOR ECONOMIC OPPORTUNITY</v>
      </c>
      <c r="L363" s="8" t="s">
        <v>1707</v>
      </c>
      <c r="M363" s="8" t="s">
        <v>1708</v>
      </c>
      <c r="N363" s="8" t="s">
        <v>31</v>
      </c>
      <c r="O363" s="8" t="s">
        <v>31</v>
      </c>
      <c r="P363" s="8" t="s">
        <v>31</v>
      </c>
      <c r="Q363" s="9" t="s">
        <v>1738</v>
      </c>
      <c r="R363" s="8" t="s">
        <v>1710</v>
      </c>
      <c r="S363" s="10" t="s">
        <v>1711</v>
      </c>
      <c r="T363" s="8" t="s">
        <v>1739</v>
      </c>
      <c r="U363" s="14" t="s">
        <v>1373</v>
      </c>
      <c r="V363" s="8" t="s">
        <v>155</v>
      </c>
      <c r="W363" s="8" t="s">
        <v>1713</v>
      </c>
      <c r="X363" s="8" t="s">
        <v>58</v>
      </c>
      <c r="Y363" s="8" t="s">
        <v>1714</v>
      </c>
      <c r="Z363" s="8" t="s">
        <v>31</v>
      </c>
      <c r="AA363" s="8" t="s">
        <v>1721</v>
      </c>
    </row>
    <row r="364" spans="1:33">
      <c r="A364" s="8">
        <v>363</v>
      </c>
      <c r="B364" s="8" t="s">
        <v>1740</v>
      </c>
      <c r="C364" s="8" t="s">
        <v>1726</v>
      </c>
      <c r="D364" s="8" t="s">
        <v>1727</v>
      </c>
      <c r="E364" s="8">
        <v>4</v>
      </c>
      <c r="F364" s="8" t="str">
        <f>IF(E364=0,"Overall",IF(E364=1,"Category",IF(E364=2,"Sub-category",IF(E364=3,"Indicator",IF(E364=4,"Sub-indicator", "Sub-sub-indicator")))))</f>
        <v>Sub-indicator</v>
      </c>
      <c r="G364" s="8">
        <v>1</v>
      </c>
      <c r="H364" s="8" t="s">
        <v>1741</v>
      </c>
      <c r="I364" s="8" t="s">
        <v>1703</v>
      </c>
      <c r="J364" s="8" t="str">
        <f t="shared" si="36"/>
        <v>RURAL ECONOMY</v>
      </c>
      <c r="K364" s="8" t="str">
        <f>$H$274</f>
        <v>FOUNDATIONS FOR ECONOMIC OPPORTUNITY</v>
      </c>
      <c r="L364" s="8" t="s">
        <v>1707</v>
      </c>
      <c r="M364" s="8" t="s">
        <v>1708</v>
      </c>
      <c r="N364" s="8" t="s">
        <v>31</v>
      </c>
      <c r="O364" s="8" t="s">
        <v>31</v>
      </c>
      <c r="P364" s="8" t="s">
        <v>31</v>
      </c>
      <c r="Q364" s="9" t="s">
        <v>1742</v>
      </c>
      <c r="R364" s="8" t="s">
        <v>1710</v>
      </c>
      <c r="S364" s="10" t="s">
        <v>1711</v>
      </c>
      <c r="T364" s="8" t="s">
        <v>1743</v>
      </c>
      <c r="U364" s="14" t="s">
        <v>1373</v>
      </c>
      <c r="V364" s="8" t="s">
        <v>155</v>
      </c>
      <c r="W364" s="8" t="s">
        <v>1713</v>
      </c>
      <c r="X364" s="8" t="s">
        <v>58</v>
      </c>
      <c r="Y364" s="8" t="s">
        <v>1714</v>
      </c>
      <c r="Z364" s="8" t="s">
        <v>31</v>
      </c>
      <c r="AA364" s="8" t="s">
        <v>1721</v>
      </c>
    </row>
    <row r="365" spans="1:33">
      <c r="A365" s="8">
        <v>364</v>
      </c>
      <c r="B365" s="8" t="s">
        <v>1744</v>
      </c>
      <c r="C365" s="8" t="s">
        <v>1726</v>
      </c>
      <c r="D365" s="8" t="s">
        <v>1727</v>
      </c>
      <c r="E365" s="8">
        <v>4</v>
      </c>
      <c r="F365" s="8" t="str">
        <f>IF(E365=0,"Overall",IF(E365=1,"Category",IF(E365=2,"Sub-category",IF(E365=3,"Indicator",IF(E365=4,"Sub-indicator", "Sub-sub-indicator")))))</f>
        <v>Sub-indicator</v>
      </c>
      <c r="G365" s="8">
        <v>1</v>
      </c>
      <c r="H365" s="8" t="s">
        <v>1745</v>
      </c>
      <c r="I365" s="8" t="s">
        <v>1703</v>
      </c>
      <c r="J365" s="8" t="str">
        <f t="shared" si="36"/>
        <v>RURAL ECONOMY</v>
      </c>
      <c r="K365" s="8" t="str">
        <f>$H$274</f>
        <v>FOUNDATIONS FOR ECONOMIC OPPORTUNITY</v>
      </c>
      <c r="L365" s="8" t="s">
        <v>1707</v>
      </c>
      <c r="M365" s="8" t="s">
        <v>1708</v>
      </c>
      <c r="N365" s="8" t="s">
        <v>31</v>
      </c>
      <c r="O365" s="8" t="s">
        <v>31</v>
      </c>
      <c r="P365" s="8" t="s">
        <v>31</v>
      </c>
      <c r="Q365" s="9" t="s">
        <v>1746</v>
      </c>
      <c r="R365" s="8" t="s">
        <v>1710</v>
      </c>
      <c r="S365" s="10" t="s">
        <v>1711</v>
      </c>
      <c r="T365" s="8" t="s">
        <v>1747</v>
      </c>
      <c r="U365" s="14" t="s">
        <v>1373</v>
      </c>
      <c r="V365" s="8" t="s">
        <v>155</v>
      </c>
      <c r="W365" s="8" t="s">
        <v>1713</v>
      </c>
      <c r="X365" s="8" t="s">
        <v>58</v>
      </c>
      <c r="Y365" s="8" t="s">
        <v>1714</v>
      </c>
      <c r="Z365" s="8" t="s">
        <v>31</v>
      </c>
      <c r="AA365" s="8" t="s">
        <v>1721</v>
      </c>
    </row>
    <row r="366" spans="1:33">
      <c r="A366" s="8">
        <v>365</v>
      </c>
      <c r="B366" s="8" t="s">
        <v>1748</v>
      </c>
      <c r="C366" s="8" t="s">
        <v>1698</v>
      </c>
      <c r="D366" s="8" t="s">
        <v>1699</v>
      </c>
      <c r="E366" s="12">
        <v>3</v>
      </c>
      <c r="F366" s="12" t="str">
        <f>IF(E366=0,"Overall",IF(E366=1,"Category",IF(E366=2,"Sub-category",IF(E366=3,"Indicator",IF(E366=4,"Sub-indicator", "Sub-sub-indicator")))))</f>
        <v>Indicator</v>
      </c>
      <c r="G366" s="8">
        <v>0</v>
      </c>
      <c r="H366" s="12" t="s">
        <v>1749</v>
      </c>
      <c r="I366" s="8" t="s">
        <v>1703</v>
      </c>
      <c r="J366" s="8" t="str">
        <f t="shared" si="36"/>
        <v>RURAL ECONOMY</v>
      </c>
      <c r="K366" s="8" t="str">
        <f>$H$274</f>
        <v>FOUNDATIONS FOR ECONOMIC OPPORTUNITY</v>
      </c>
      <c r="L366" s="8" t="s">
        <v>33</v>
      </c>
      <c r="M366" s="8" t="s">
        <v>31</v>
      </c>
      <c r="N366" s="8" t="s">
        <v>31</v>
      </c>
      <c r="O366" s="8" t="s">
        <v>31</v>
      </c>
      <c r="P366" s="8" t="s">
        <v>31</v>
      </c>
      <c r="Q366" s="9" t="s">
        <v>1750</v>
      </c>
      <c r="R366" s="8" t="s">
        <v>31</v>
      </c>
      <c r="S366" s="10" t="s">
        <v>31</v>
      </c>
      <c r="T366" s="8" t="s">
        <v>31</v>
      </c>
      <c r="U366" s="14" t="s">
        <v>31</v>
      </c>
      <c r="V366" s="8" t="s">
        <v>31</v>
      </c>
      <c r="W366" s="8" t="s">
        <v>31</v>
      </c>
      <c r="X366" s="8" t="s">
        <v>31</v>
      </c>
      <c r="Y366" s="8" t="s">
        <v>31</v>
      </c>
      <c r="Z366" s="8" t="s">
        <v>31</v>
      </c>
    </row>
    <row r="367" spans="1:33">
      <c r="A367" s="8">
        <v>366</v>
      </c>
      <c r="B367" s="8" t="s">
        <v>1751</v>
      </c>
      <c r="C367" s="8" t="s">
        <v>1748</v>
      </c>
      <c r="D367" s="8" t="s">
        <v>1749</v>
      </c>
      <c r="E367" s="8">
        <v>4</v>
      </c>
      <c r="F367" s="8" t="s">
        <v>136</v>
      </c>
      <c r="G367" s="8">
        <v>1</v>
      </c>
      <c r="H367" s="8" t="s">
        <v>1752</v>
      </c>
      <c r="I367" s="8" t="s">
        <v>1703</v>
      </c>
      <c r="J367" s="8" t="str">
        <f t="shared" si="36"/>
        <v>RURAL ECONOMY</v>
      </c>
      <c r="K367" s="8" t="s">
        <v>1287</v>
      </c>
      <c r="L367" s="8" t="s">
        <v>1707</v>
      </c>
      <c r="M367" s="8" t="s">
        <v>1708</v>
      </c>
      <c r="N367" s="8" t="s">
        <v>31</v>
      </c>
      <c r="O367" s="8" t="s">
        <v>31</v>
      </c>
      <c r="P367" s="8" t="s">
        <v>31</v>
      </c>
      <c r="Q367" s="9" t="s">
        <v>1753</v>
      </c>
      <c r="R367" s="8" t="s">
        <v>1710</v>
      </c>
      <c r="S367" s="10" t="s">
        <v>1711</v>
      </c>
      <c r="T367" s="8" t="s">
        <v>1754</v>
      </c>
      <c r="U367" s="14" t="s">
        <v>1373</v>
      </c>
      <c r="V367" s="8" t="s">
        <v>155</v>
      </c>
      <c r="W367" s="8" t="s">
        <v>1713</v>
      </c>
      <c r="X367" s="8" t="s">
        <v>58</v>
      </c>
      <c r="Y367" s="8" t="s">
        <v>1714</v>
      </c>
      <c r="Z367" s="8" t="s">
        <v>31</v>
      </c>
      <c r="AA367" s="8" t="s">
        <v>1721</v>
      </c>
    </row>
    <row r="368" spans="1:33">
      <c r="A368" s="8">
        <v>367</v>
      </c>
      <c r="B368" s="8" t="s">
        <v>1755</v>
      </c>
      <c r="C368" s="8" t="s">
        <v>1748</v>
      </c>
      <c r="D368" s="8" t="s">
        <v>1749</v>
      </c>
      <c r="E368" s="8">
        <v>4</v>
      </c>
      <c r="F368" s="8" t="s">
        <v>136</v>
      </c>
      <c r="G368" s="8">
        <v>1</v>
      </c>
      <c r="H368" s="8" t="s">
        <v>1756</v>
      </c>
      <c r="I368" s="8" t="s">
        <v>1703</v>
      </c>
      <c r="J368" s="8" t="str">
        <f t="shared" si="36"/>
        <v>RURAL ECONOMY</v>
      </c>
      <c r="K368" s="8" t="s">
        <v>1287</v>
      </c>
      <c r="L368" s="8" t="s">
        <v>1707</v>
      </c>
      <c r="M368" s="8" t="s">
        <v>1708</v>
      </c>
      <c r="N368" s="8" t="s">
        <v>31</v>
      </c>
      <c r="O368" s="8" t="s">
        <v>31</v>
      </c>
      <c r="P368" s="8" t="s">
        <v>31</v>
      </c>
      <c r="Q368" s="9" t="s">
        <v>1757</v>
      </c>
      <c r="R368" s="8" t="s">
        <v>1710</v>
      </c>
      <c r="S368" s="10" t="s">
        <v>1711</v>
      </c>
      <c r="T368" s="8" t="s">
        <v>1758</v>
      </c>
      <c r="U368" s="14" t="s">
        <v>1373</v>
      </c>
      <c r="V368" s="8" t="s">
        <v>155</v>
      </c>
      <c r="W368" s="8" t="s">
        <v>1713</v>
      </c>
      <c r="X368" s="8" t="s">
        <v>58</v>
      </c>
      <c r="Y368" s="8" t="s">
        <v>1720</v>
      </c>
      <c r="Z368" s="8" t="s">
        <v>31</v>
      </c>
      <c r="AA368" s="8" t="s">
        <v>1721</v>
      </c>
    </row>
    <row r="369" spans="1:29" s="6" customFormat="1">
      <c r="A369" s="6">
        <v>368</v>
      </c>
      <c r="B369" s="6" t="s">
        <v>1759</v>
      </c>
      <c r="C369" s="6" t="s">
        <v>29</v>
      </c>
      <c r="D369" s="6" t="s">
        <v>30</v>
      </c>
      <c r="E369" s="6">
        <v>1</v>
      </c>
      <c r="F369" s="6" t="str">
        <f t="shared" ref="F369:F383" si="37">IF(E369=0,"Overall",IF(E369=1,"Category",IF(E369=2,"Sub-category",IF(E369=3,"Indicator",IF(E369=4,"Sub-indicator", "Sub-sub-indicator")))))</f>
        <v>Category</v>
      </c>
      <c r="G369" s="6">
        <v>0</v>
      </c>
      <c r="H369" s="6" t="s">
        <v>1760</v>
      </c>
      <c r="I369" s="6" t="s">
        <v>31</v>
      </c>
      <c r="J369" s="6" t="s">
        <v>31</v>
      </c>
      <c r="K369" s="6" t="s">
        <v>31</v>
      </c>
      <c r="L369" s="6" t="s">
        <v>33</v>
      </c>
      <c r="M369" s="6" t="s">
        <v>31</v>
      </c>
      <c r="N369" s="6" t="s">
        <v>31</v>
      </c>
      <c r="O369" s="6" t="s">
        <v>31</v>
      </c>
      <c r="P369" s="6" t="s">
        <v>31</v>
      </c>
      <c r="Q369" s="6" t="s">
        <v>1761</v>
      </c>
      <c r="R369" s="6" t="s">
        <v>31</v>
      </c>
      <c r="S369" s="6" t="s">
        <v>31</v>
      </c>
      <c r="T369" s="6" t="s">
        <v>31</v>
      </c>
      <c r="U369" s="6" t="s">
        <v>31</v>
      </c>
      <c r="V369" s="6" t="s">
        <v>31</v>
      </c>
      <c r="W369" s="6" t="s">
        <v>31</v>
      </c>
      <c r="X369" s="6" t="s">
        <v>31</v>
      </c>
      <c r="Y369" s="6" t="s">
        <v>31</v>
      </c>
      <c r="Z369" s="6" t="s">
        <v>31</v>
      </c>
    </row>
    <row r="370" spans="1:29" s="6" customFormat="1">
      <c r="A370" s="6">
        <v>369</v>
      </c>
      <c r="B370" s="6" t="s">
        <v>1762</v>
      </c>
      <c r="C370" s="6" t="s">
        <v>1759</v>
      </c>
      <c r="D370" s="6" t="s">
        <v>1760</v>
      </c>
      <c r="E370" s="6">
        <v>2</v>
      </c>
      <c r="F370" s="6" t="str">
        <f t="shared" si="37"/>
        <v>Sub-category</v>
      </c>
      <c r="G370" s="6">
        <v>0</v>
      </c>
      <c r="H370" s="6" t="s">
        <v>1762</v>
      </c>
      <c r="I370" s="6" t="s">
        <v>31</v>
      </c>
      <c r="J370" s="6" t="s">
        <v>31</v>
      </c>
      <c r="K370" s="6" t="str">
        <f t="shared" ref="K370:K383" si="38">$H$369</f>
        <v>HUMAN DEVELOPMENT</v>
      </c>
      <c r="L370" s="6" t="s">
        <v>33</v>
      </c>
      <c r="M370" s="6" t="s">
        <v>31</v>
      </c>
      <c r="N370" s="6" t="s">
        <v>31</v>
      </c>
      <c r="O370" s="6" t="s">
        <v>31</v>
      </c>
      <c r="P370" s="6" t="s">
        <v>31</v>
      </c>
      <c r="Q370" s="24" t="s">
        <v>1763</v>
      </c>
      <c r="R370" s="6" t="s">
        <v>31</v>
      </c>
      <c r="S370" s="6" t="s">
        <v>31</v>
      </c>
      <c r="T370" s="6" t="s">
        <v>31</v>
      </c>
      <c r="U370" s="6" t="s">
        <v>31</v>
      </c>
      <c r="V370" s="6" t="s">
        <v>31</v>
      </c>
      <c r="W370" s="6" t="s">
        <v>31</v>
      </c>
      <c r="X370" s="6" t="s">
        <v>31</v>
      </c>
      <c r="Y370" s="6" t="s">
        <v>31</v>
      </c>
      <c r="Z370" s="6" t="s">
        <v>31</v>
      </c>
    </row>
    <row r="371" spans="1:29">
      <c r="A371" s="8">
        <v>370</v>
      </c>
      <c r="B371" s="8" t="s">
        <v>1764</v>
      </c>
      <c r="C371" s="8" t="s">
        <v>1762</v>
      </c>
      <c r="D371" s="8" t="s">
        <v>1762</v>
      </c>
      <c r="E371" s="12">
        <v>3</v>
      </c>
      <c r="F371" s="12" t="str">
        <f t="shared" si="37"/>
        <v>Indicator</v>
      </c>
      <c r="G371" s="8">
        <v>0</v>
      </c>
      <c r="H371" s="12" t="s">
        <v>1765</v>
      </c>
      <c r="I371" s="8" t="s">
        <v>1766</v>
      </c>
      <c r="J371" s="8" t="str">
        <f t="shared" ref="J371:J383" si="39">$H$370</f>
        <v>HEALTH</v>
      </c>
      <c r="K371" s="8" t="str">
        <f t="shared" si="38"/>
        <v>HUMAN DEVELOPMENT</v>
      </c>
      <c r="L371" s="8" t="s">
        <v>33</v>
      </c>
      <c r="M371" s="8" t="s">
        <v>31</v>
      </c>
      <c r="N371" s="8" t="s">
        <v>31</v>
      </c>
      <c r="O371" s="8" t="s">
        <v>31</v>
      </c>
      <c r="P371" s="8" t="s">
        <v>31</v>
      </c>
      <c r="Q371" s="9" t="s">
        <v>1767</v>
      </c>
      <c r="R371" s="8" t="s">
        <v>31</v>
      </c>
      <c r="S371" s="10" t="s">
        <v>31</v>
      </c>
      <c r="T371" s="8" t="s">
        <v>31</v>
      </c>
      <c r="U371" s="8" t="s">
        <v>31</v>
      </c>
      <c r="V371" s="8" t="s">
        <v>31</v>
      </c>
      <c r="W371" s="8" t="s">
        <v>31</v>
      </c>
      <c r="X371" s="8" t="s">
        <v>31</v>
      </c>
      <c r="Y371" s="8" t="s">
        <v>31</v>
      </c>
      <c r="Z371" s="8" t="s">
        <v>31</v>
      </c>
    </row>
    <row r="372" spans="1:29">
      <c r="A372" s="8">
        <v>371</v>
      </c>
      <c r="B372" s="8" t="s">
        <v>1768</v>
      </c>
      <c r="C372" s="8" t="s">
        <v>1764</v>
      </c>
      <c r="D372" s="8" t="s">
        <v>1765</v>
      </c>
      <c r="E372" s="8">
        <v>4</v>
      </c>
      <c r="F372" s="8" t="str">
        <f t="shared" si="37"/>
        <v>Sub-indicator</v>
      </c>
      <c r="G372" s="8">
        <v>1</v>
      </c>
      <c r="H372" s="8" t="s">
        <v>1769</v>
      </c>
      <c r="I372" s="8" t="s">
        <v>177</v>
      </c>
      <c r="J372" s="8" t="str">
        <f t="shared" si="39"/>
        <v>HEALTH</v>
      </c>
      <c r="K372" s="8" t="str">
        <f t="shared" si="38"/>
        <v>HUMAN DEVELOPMENT</v>
      </c>
      <c r="L372" s="8" t="s">
        <v>178</v>
      </c>
      <c r="M372" s="8" t="s">
        <v>179</v>
      </c>
      <c r="N372" s="8" t="s">
        <v>31</v>
      </c>
      <c r="O372" s="8" t="s">
        <v>31</v>
      </c>
      <c r="P372" s="8" t="s">
        <v>31</v>
      </c>
      <c r="Q372" s="9" t="s">
        <v>1770</v>
      </c>
      <c r="R372" s="8" t="s">
        <v>1108</v>
      </c>
      <c r="S372" s="10">
        <v>45456</v>
      </c>
      <c r="T372" s="8" t="s">
        <v>1771</v>
      </c>
      <c r="U372" s="8" t="s">
        <v>196</v>
      </c>
      <c r="V372" s="8" t="s">
        <v>56</v>
      </c>
      <c r="W372" s="8" t="s">
        <v>1772</v>
      </c>
      <c r="X372" s="8" t="s">
        <v>1773</v>
      </c>
      <c r="Y372" s="8" t="s">
        <v>58</v>
      </c>
      <c r="Z372" s="8" t="s">
        <v>31</v>
      </c>
    </row>
    <row r="373" spans="1:29">
      <c r="A373" s="8">
        <v>372</v>
      </c>
      <c r="B373" s="8" t="s">
        <v>1774</v>
      </c>
      <c r="C373" s="8" t="s">
        <v>1764</v>
      </c>
      <c r="D373" s="8" t="s">
        <v>1765</v>
      </c>
      <c r="E373" s="8">
        <v>4</v>
      </c>
      <c r="F373" s="8" t="str">
        <f t="shared" si="37"/>
        <v>Sub-indicator</v>
      </c>
      <c r="G373" s="8">
        <v>1</v>
      </c>
      <c r="H373" s="8" t="s">
        <v>1775</v>
      </c>
      <c r="I373" s="8" t="s">
        <v>149</v>
      </c>
      <c r="J373" s="8" t="str">
        <f t="shared" si="39"/>
        <v>HEALTH</v>
      </c>
      <c r="K373" s="8" t="str">
        <f t="shared" si="38"/>
        <v>HUMAN DEVELOPMENT</v>
      </c>
      <c r="L373" s="8" t="s">
        <v>150</v>
      </c>
      <c r="M373" s="8" t="s">
        <v>151</v>
      </c>
      <c r="N373" s="8" t="s">
        <v>31</v>
      </c>
      <c r="O373" s="8" t="s">
        <v>31</v>
      </c>
      <c r="P373" s="8" t="s">
        <v>31</v>
      </c>
      <c r="Q373" s="9" t="s">
        <v>1776</v>
      </c>
      <c r="R373" s="8" t="s">
        <v>53</v>
      </c>
      <c r="S373" s="10">
        <v>45432</v>
      </c>
      <c r="T373" s="8" t="s">
        <v>1777</v>
      </c>
      <c r="U373" s="8" t="s">
        <v>229</v>
      </c>
      <c r="V373" s="8" t="s">
        <v>155</v>
      </c>
      <c r="W373" s="8" t="s">
        <v>156</v>
      </c>
      <c r="X373" s="8" t="s">
        <v>58</v>
      </c>
      <c r="Y373" s="8" t="s">
        <v>58</v>
      </c>
      <c r="Z373" s="8" t="s">
        <v>31</v>
      </c>
      <c r="AB373" s="8" t="s">
        <v>157</v>
      </c>
    </row>
    <row r="374" spans="1:29">
      <c r="A374" s="8">
        <v>373</v>
      </c>
      <c r="B374" s="8" t="s">
        <v>1778</v>
      </c>
      <c r="C374" s="8" t="s">
        <v>1762</v>
      </c>
      <c r="D374" s="8" t="s">
        <v>1762</v>
      </c>
      <c r="E374" s="12">
        <v>3</v>
      </c>
      <c r="F374" s="12" t="str">
        <f t="shared" si="37"/>
        <v>Indicator</v>
      </c>
      <c r="G374" s="8">
        <v>0</v>
      </c>
      <c r="H374" s="12" t="s">
        <v>1779</v>
      </c>
      <c r="I374" s="8" t="s">
        <v>1780</v>
      </c>
      <c r="J374" s="8" t="str">
        <f t="shared" si="39"/>
        <v>HEALTH</v>
      </c>
      <c r="K374" s="8" t="str">
        <f t="shared" si="38"/>
        <v>HUMAN DEVELOPMENT</v>
      </c>
      <c r="L374" s="8" t="s">
        <v>33</v>
      </c>
      <c r="M374" s="8" t="s">
        <v>31</v>
      </c>
      <c r="N374" s="8" t="s">
        <v>31</v>
      </c>
      <c r="O374" s="8" t="s">
        <v>31</v>
      </c>
      <c r="P374" s="8" t="s">
        <v>31</v>
      </c>
      <c r="Q374" s="9" t="s">
        <v>1781</v>
      </c>
      <c r="R374" s="8" t="s">
        <v>31</v>
      </c>
      <c r="S374" s="10" t="s">
        <v>31</v>
      </c>
      <c r="T374" s="8" t="s">
        <v>31</v>
      </c>
      <c r="U374" s="8" t="s">
        <v>31</v>
      </c>
      <c r="V374" s="8" t="s">
        <v>31</v>
      </c>
      <c r="W374" s="8" t="s">
        <v>31</v>
      </c>
      <c r="X374" s="8" t="s">
        <v>31</v>
      </c>
      <c r="Y374" s="8" t="s">
        <v>31</v>
      </c>
      <c r="Z374" s="8" t="s">
        <v>31</v>
      </c>
    </row>
    <row r="375" spans="1:29">
      <c r="A375" s="8">
        <v>374</v>
      </c>
      <c r="B375" s="8" t="s">
        <v>1782</v>
      </c>
      <c r="C375" s="8" t="s">
        <v>1778</v>
      </c>
      <c r="D375" s="8" t="s">
        <v>1779</v>
      </c>
      <c r="E375" s="8">
        <v>4</v>
      </c>
      <c r="F375" s="8" t="str">
        <f t="shared" si="37"/>
        <v>Sub-indicator</v>
      </c>
      <c r="G375" s="8">
        <v>1</v>
      </c>
      <c r="H375" s="8" t="s">
        <v>1783</v>
      </c>
      <c r="I375" s="8" t="s">
        <v>1780</v>
      </c>
      <c r="J375" s="8" t="str">
        <f t="shared" si="39"/>
        <v>HEALTH</v>
      </c>
      <c r="K375" s="8" t="str">
        <f t="shared" si="38"/>
        <v>HUMAN DEVELOPMENT</v>
      </c>
      <c r="L375" s="8" t="s">
        <v>1784</v>
      </c>
      <c r="M375" s="8" t="s">
        <v>1785</v>
      </c>
      <c r="N375" s="8" t="s">
        <v>31</v>
      </c>
      <c r="O375" s="8" t="s">
        <v>31</v>
      </c>
      <c r="P375" s="8" t="s">
        <v>31</v>
      </c>
      <c r="Q375" s="9" t="s">
        <v>1786</v>
      </c>
      <c r="R375" s="8" t="s">
        <v>97</v>
      </c>
      <c r="S375" s="10">
        <v>45447</v>
      </c>
      <c r="T375" s="8" t="s">
        <v>1787</v>
      </c>
      <c r="U375" s="8" t="s">
        <v>196</v>
      </c>
      <c r="V375" s="8" t="s">
        <v>155</v>
      </c>
      <c r="W375" s="8" t="s">
        <v>1788</v>
      </c>
      <c r="X375" s="8" t="s">
        <v>58</v>
      </c>
      <c r="Y375" s="8" t="s">
        <v>58</v>
      </c>
      <c r="Z375" s="8" t="s">
        <v>31</v>
      </c>
      <c r="AA375" s="8" t="s">
        <v>1789</v>
      </c>
    </row>
    <row r="376" spans="1:29" ht="14">
      <c r="A376" s="8">
        <v>375</v>
      </c>
      <c r="B376" s="8" t="s">
        <v>1790</v>
      </c>
      <c r="C376" s="8" t="s">
        <v>1778</v>
      </c>
      <c r="D376" s="8" t="s">
        <v>1779</v>
      </c>
      <c r="E376" s="8">
        <v>4</v>
      </c>
      <c r="F376" s="8" t="str">
        <f t="shared" si="37"/>
        <v>Sub-indicator</v>
      </c>
      <c r="G376" s="8">
        <v>1</v>
      </c>
      <c r="H376" s="8" t="s">
        <v>1791</v>
      </c>
      <c r="I376" s="8" t="s">
        <v>1780</v>
      </c>
      <c r="J376" s="8" t="str">
        <f t="shared" si="39"/>
        <v>HEALTH</v>
      </c>
      <c r="K376" s="8" t="str">
        <f t="shared" si="38"/>
        <v>HUMAN DEVELOPMENT</v>
      </c>
      <c r="L376" s="8" t="s">
        <v>1784</v>
      </c>
      <c r="M376" s="8" t="s">
        <v>1785</v>
      </c>
      <c r="N376" s="8" t="s">
        <v>31</v>
      </c>
      <c r="O376" s="8" t="s">
        <v>31</v>
      </c>
      <c r="P376" s="8" t="s">
        <v>31</v>
      </c>
      <c r="Q376" s="9" t="s">
        <v>1792</v>
      </c>
      <c r="R376" s="8" t="s">
        <v>97</v>
      </c>
      <c r="S376" s="10">
        <v>45447</v>
      </c>
      <c r="T376" s="8" t="s">
        <v>1793</v>
      </c>
      <c r="U376" s="8" t="s">
        <v>196</v>
      </c>
      <c r="V376" s="8" t="s">
        <v>155</v>
      </c>
      <c r="W376" s="8" t="s">
        <v>1788</v>
      </c>
      <c r="X376" s="22" t="s">
        <v>1794</v>
      </c>
      <c r="Y376" s="8" t="s">
        <v>58</v>
      </c>
      <c r="Z376" s="8" t="s">
        <v>31</v>
      </c>
      <c r="AA376" s="8" t="s">
        <v>1795</v>
      </c>
    </row>
    <row r="377" spans="1:29">
      <c r="A377" s="8">
        <v>376</v>
      </c>
      <c r="B377" s="8" t="s">
        <v>1796</v>
      </c>
      <c r="C377" s="8" t="s">
        <v>1778</v>
      </c>
      <c r="D377" s="8" t="s">
        <v>1779</v>
      </c>
      <c r="E377" s="8">
        <v>4</v>
      </c>
      <c r="F377" s="8" t="str">
        <f t="shared" si="37"/>
        <v>Sub-indicator</v>
      </c>
      <c r="G377" s="8">
        <v>0</v>
      </c>
      <c r="H377" s="8" t="s">
        <v>1797</v>
      </c>
      <c r="I377" s="8" t="s">
        <v>1780</v>
      </c>
      <c r="J377" s="8" t="str">
        <f t="shared" si="39"/>
        <v>HEALTH</v>
      </c>
      <c r="K377" s="8" t="str">
        <f t="shared" si="38"/>
        <v>HUMAN DEVELOPMENT</v>
      </c>
      <c r="L377" s="8" t="s">
        <v>33</v>
      </c>
      <c r="M377" s="8" t="s">
        <v>31</v>
      </c>
      <c r="N377" s="8" t="s">
        <v>31</v>
      </c>
      <c r="O377" s="8" t="s">
        <v>31</v>
      </c>
      <c r="P377" s="8" t="s">
        <v>31</v>
      </c>
      <c r="Q377" s="9" t="s">
        <v>1798</v>
      </c>
      <c r="R377" s="8" t="s">
        <v>31</v>
      </c>
      <c r="S377" s="10" t="s">
        <v>31</v>
      </c>
      <c r="T377" s="8" t="s">
        <v>31</v>
      </c>
      <c r="U377" s="8" t="s">
        <v>31</v>
      </c>
      <c r="V377" s="8" t="s">
        <v>31</v>
      </c>
      <c r="W377" s="8" t="s">
        <v>31</v>
      </c>
      <c r="X377" s="8" t="s">
        <v>31</v>
      </c>
      <c r="Y377" s="8" t="s">
        <v>31</v>
      </c>
      <c r="Z377" s="8" t="s">
        <v>31</v>
      </c>
    </row>
    <row r="378" spans="1:29">
      <c r="A378" s="8">
        <v>377</v>
      </c>
      <c r="B378" s="8" t="s">
        <v>1799</v>
      </c>
      <c r="C378" s="8" t="s">
        <v>1796</v>
      </c>
      <c r="D378" s="8" t="s">
        <v>1797</v>
      </c>
      <c r="E378" s="8">
        <v>5</v>
      </c>
      <c r="F378" s="8" t="str">
        <f t="shared" si="37"/>
        <v>Sub-sub-indicator</v>
      </c>
      <c r="G378" s="8">
        <v>1</v>
      </c>
      <c r="H378" s="8" t="s">
        <v>1800</v>
      </c>
      <c r="I378" s="8" t="s">
        <v>1780</v>
      </c>
      <c r="J378" s="8" t="str">
        <f t="shared" si="39"/>
        <v>HEALTH</v>
      </c>
      <c r="K378" s="8" t="str">
        <f t="shared" si="38"/>
        <v>HUMAN DEVELOPMENT</v>
      </c>
      <c r="L378" s="8" t="s">
        <v>1784</v>
      </c>
      <c r="M378" s="8" t="s">
        <v>1785</v>
      </c>
      <c r="N378" s="8" t="s">
        <v>31</v>
      </c>
      <c r="O378" s="8" t="s">
        <v>31</v>
      </c>
      <c r="P378" s="8" t="s">
        <v>31</v>
      </c>
      <c r="Q378" s="9" t="s">
        <v>1801</v>
      </c>
      <c r="R378" s="8" t="s">
        <v>97</v>
      </c>
      <c r="S378" s="10">
        <v>45447</v>
      </c>
      <c r="T378" s="8" t="s">
        <v>1802</v>
      </c>
      <c r="U378" s="8" t="s">
        <v>196</v>
      </c>
      <c r="V378" s="8" t="s">
        <v>155</v>
      </c>
      <c r="W378" s="8" t="s">
        <v>1788</v>
      </c>
      <c r="X378" s="8" t="s">
        <v>58</v>
      </c>
      <c r="Y378" s="8" t="s">
        <v>58</v>
      </c>
      <c r="Z378" s="8" t="s">
        <v>31</v>
      </c>
      <c r="AA378" s="8" t="s">
        <v>1803</v>
      </c>
    </row>
    <row r="379" spans="1:29">
      <c r="A379" s="8">
        <v>378</v>
      </c>
      <c r="B379" s="8" t="s">
        <v>1804</v>
      </c>
      <c r="C379" s="8" t="s">
        <v>1796</v>
      </c>
      <c r="D379" s="8" t="s">
        <v>1797</v>
      </c>
      <c r="E379" s="8">
        <v>5</v>
      </c>
      <c r="F379" s="8" t="str">
        <f t="shared" si="37"/>
        <v>Sub-sub-indicator</v>
      </c>
      <c r="G379" s="8">
        <v>1</v>
      </c>
      <c r="H379" s="8" t="s">
        <v>1805</v>
      </c>
      <c r="I379" s="8" t="s">
        <v>1780</v>
      </c>
      <c r="J379" s="8" t="str">
        <f t="shared" si="39"/>
        <v>HEALTH</v>
      </c>
      <c r="K379" s="8" t="str">
        <f t="shared" si="38"/>
        <v>HUMAN DEVELOPMENT</v>
      </c>
      <c r="L379" s="8" t="s">
        <v>1784</v>
      </c>
      <c r="M379" s="8" t="s">
        <v>1785</v>
      </c>
      <c r="N379" s="8" t="s">
        <v>31</v>
      </c>
      <c r="O379" s="8" t="s">
        <v>31</v>
      </c>
      <c r="P379" s="8" t="s">
        <v>31</v>
      </c>
      <c r="Q379" s="9" t="s">
        <v>1806</v>
      </c>
      <c r="R379" s="8" t="s">
        <v>97</v>
      </c>
      <c r="S379" s="10">
        <v>45447</v>
      </c>
      <c r="T379" s="8" t="s">
        <v>1807</v>
      </c>
      <c r="U379" s="8" t="s">
        <v>196</v>
      </c>
      <c r="V379" s="8" t="s">
        <v>56</v>
      </c>
      <c r="W379" s="8" t="s">
        <v>1788</v>
      </c>
      <c r="X379" s="8" t="s">
        <v>58</v>
      </c>
      <c r="Y379" s="8" t="s">
        <v>58</v>
      </c>
      <c r="Z379" s="8" t="s">
        <v>31</v>
      </c>
      <c r="AA379" s="8" t="s">
        <v>1803</v>
      </c>
    </row>
    <row r="380" spans="1:29">
      <c r="A380" s="8">
        <v>379</v>
      </c>
      <c r="B380" s="8" t="s">
        <v>1808</v>
      </c>
      <c r="C380" s="8" t="s">
        <v>1762</v>
      </c>
      <c r="D380" s="8" t="s">
        <v>1762</v>
      </c>
      <c r="E380" s="12">
        <v>3</v>
      </c>
      <c r="F380" s="12" t="str">
        <f t="shared" si="37"/>
        <v>Indicator</v>
      </c>
      <c r="G380" s="8">
        <v>0</v>
      </c>
      <c r="H380" s="12" t="s">
        <v>1809</v>
      </c>
      <c r="I380" s="8" t="s">
        <v>1810</v>
      </c>
      <c r="J380" s="8" t="str">
        <f t="shared" si="39"/>
        <v>HEALTH</v>
      </c>
      <c r="K380" s="8" t="str">
        <f t="shared" si="38"/>
        <v>HUMAN DEVELOPMENT</v>
      </c>
      <c r="L380" s="8" t="s">
        <v>33</v>
      </c>
      <c r="M380" s="8" t="s">
        <v>31</v>
      </c>
      <c r="N380" s="8" t="s">
        <v>31</v>
      </c>
      <c r="O380" s="8" t="s">
        <v>31</v>
      </c>
      <c r="P380" s="8" t="s">
        <v>31</v>
      </c>
      <c r="Q380" s="9" t="s">
        <v>1811</v>
      </c>
      <c r="R380" s="8" t="s">
        <v>31</v>
      </c>
      <c r="S380" s="10" t="s">
        <v>31</v>
      </c>
      <c r="T380" s="8" t="s">
        <v>31</v>
      </c>
      <c r="U380" s="8" t="s">
        <v>31</v>
      </c>
      <c r="V380" s="8" t="s">
        <v>31</v>
      </c>
      <c r="W380" s="8" t="s">
        <v>31</v>
      </c>
      <c r="X380" s="8" t="s">
        <v>31</v>
      </c>
      <c r="Y380" s="8" t="s">
        <v>31</v>
      </c>
      <c r="Z380" s="8" t="s">
        <v>31</v>
      </c>
    </row>
    <row r="381" spans="1:29">
      <c r="A381" s="8">
        <v>380</v>
      </c>
      <c r="B381" s="8" t="s">
        <v>1812</v>
      </c>
      <c r="C381" s="8" t="s">
        <v>1808</v>
      </c>
      <c r="D381" s="8" t="s">
        <v>1809</v>
      </c>
      <c r="E381" s="8">
        <v>4</v>
      </c>
      <c r="F381" s="8" t="str">
        <f t="shared" si="37"/>
        <v>Sub-indicator</v>
      </c>
      <c r="G381" s="8">
        <v>1</v>
      </c>
      <c r="H381" s="8" t="s">
        <v>1813</v>
      </c>
      <c r="I381" s="8" t="s">
        <v>177</v>
      </c>
      <c r="J381" s="8" t="str">
        <f t="shared" si="39"/>
        <v>HEALTH</v>
      </c>
      <c r="K381" s="8" t="str">
        <f t="shared" si="38"/>
        <v>HUMAN DEVELOPMENT</v>
      </c>
      <c r="L381" s="8" t="s">
        <v>178</v>
      </c>
      <c r="M381" s="8" t="s">
        <v>179</v>
      </c>
      <c r="N381" s="8" t="s">
        <v>31</v>
      </c>
      <c r="O381" s="8" t="s">
        <v>31</v>
      </c>
      <c r="P381" s="8" t="s">
        <v>31</v>
      </c>
      <c r="Q381" s="9" t="s">
        <v>1814</v>
      </c>
      <c r="R381" s="8" t="s">
        <v>1108</v>
      </c>
      <c r="S381" s="10">
        <v>45456</v>
      </c>
      <c r="T381" s="8" t="s">
        <v>1815</v>
      </c>
      <c r="U381" s="8" t="s">
        <v>55</v>
      </c>
      <c r="V381" s="8" t="s">
        <v>56</v>
      </c>
      <c r="W381" s="8" t="s">
        <v>1816</v>
      </c>
      <c r="X381" s="8" t="s">
        <v>1817</v>
      </c>
      <c r="Y381" s="8" t="s">
        <v>1818</v>
      </c>
      <c r="Z381" s="8" t="s">
        <v>31</v>
      </c>
      <c r="AA381" s="8" t="s">
        <v>130</v>
      </c>
      <c r="AB381" s="8" t="s">
        <v>1819</v>
      </c>
    </row>
    <row r="382" spans="1:29">
      <c r="A382" s="8">
        <v>381</v>
      </c>
      <c r="B382" s="8" t="s">
        <v>1820</v>
      </c>
      <c r="C382" s="8" t="s">
        <v>1808</v>
      </c>
      <c r="D382" s="8" t="s">
        <v>1809</v>
      </c>
      <c r="E382" s="8">
        <v>4</v>
      </c>
      <c r="F382" s="8" t="str">
        <f t="shared" si="37"/>
        <v>Sub-indicator</v>
      </c>
      <c r="G382" s="8">
        <v>1</v>
      </c>
      <c r="H382" s="8" t="s">
        <v>1821</v>
      </c>
      <c r="I382" s="8" t="s">
        <v>177</v>
      </c>
      <c r="J382" s="8" t="str">
        <f t="shared" si="39"/>
        <v>HEALTH</v>
      </c>
      <c r="K382" s="8" t="str">
        <f t="shared" si="38"/>
        <v>HUMAN DEVELOPMENT</v>
      </c>
      <c r="L382" s="8" t="s">
        <v>178</v>
      </c>
      <c r="M382" s="8" t="s">
        <v>179</v>
      </c>
      <c r="N382" s="8" t="s">
        <v>31</v>
      </c>
      <c r="O382" s="8" t="s">
        <v>31</v>
      </c>
      <c r="P382" s="8" t="s">
        <v>31</v>
      </c>
      <c r="Q382" s="9" t="s">
        <v>1822</v>
      </c>
      <c r="R382" s="8" t="s">
        <v>97</v>
      </c>
      <c r="S382" s="10">
        <v>45456</v>
      </c>
      <c r="T382" s="8" t="s">
        <v>1823</v>
      </c>
      <c r="U382" s="8" t="s">
        <v>183</v>
      </c>
      <c r="V382" s="8" t="s">
        <v>56</v>
      </c>
      <c r="W382" s="8" t="s">
        <v>1824</v>
      </c>
      <c r="X382" s="8" t="s">
        <v>58</v>
      </c>
      <c r="Y382" s="8" t="s">
        <v>58</v>
      </c>
      <c r="Z382" s="8" t="s">
        <v>31</v>
      </c>
    </row>
    <row r="383" spans="1:29">
      <c r="A383" s="8">
        <v>382</v>
      </c>
      <c r="B383" s="8" t="s">
        <v>1825</v>
      </c>
      <c r="C383" s="8" t="s">
        <v>1808</v>
      </c>
      <c r="D383" s="8" t="s">
        <v>1809</v>
      </c>
      <c r="E383" s="8">
        <v>4</v>
      </c>
      <c r="F383" s="8" t="str">
        <f t="shared" si="37"/>
        <v>Sub-indicator</v>
      </c>
      <c r="G383" s="8">
        <v>0</v>
      </c>
      <c r="H383" s="8" t="s">
        <v>1826</v>
      </c>
      <c r="I383" s="8" t="s">
        <v>1827</v>
      </c>
      <c r="J383" s="8" t="str">
        <f t="shared" si="39"/>
        <v>HEALTH</v>
      </c>
      <c r="K383" s="8" t="str">
        <f t="shared" si="38"/>
        <v>HUMAN DEVELOPMENT</v>
      </c>
      <c r="L383" s="8" t="s">
        <v>33</v>
      </c>
      <c r="M383" s="8" t="s">
        <v>31</v>
      </c>
      <c r="N383" s="8" t="s">
        <v>31</v>
      </c>
      <c r="O383" s="8" t="s">
        <v>31</v>
      </c>
      <c r="P383" s="8" t="s">
        <v>31</v>
      </c>
      <c r="Q383" s="9" t="s">
        <v>1828</v>
      </c>
      <c r="R383" s="8" t="s">
        <v>31</v>
      </c>
      <c r="S383" s="10" t="s">
        <v>31</v>
      </c>
      <c r="T383" s="8" t="s">
        <v>31</v>
      </c>
      <c r="U383" s="8" t="s">
        <v>31</v>
      </c>
      <c r="V383" s="8" t="s">
        <v>31</v>
      </c>
      <c r="W383" s="8" t="s">
        <v>31</v>
      </c>
      <c r="X383" s="8" t="s">
        <v>31</v>
      </c>
      <c r="Y383" s="8" t="s">
        <v>31</v>
      </c>
      <c r="Z383" s="8" t="s">
        <v>31</v>
      </c>
    </row>
    <row r="384" spans="1:29">
      <c r="A384" s="8">
        <v>383</v>
      </c>
      <c r="B384" s="8" t="s">
        <v>1829</v>
      </c>
      <c r="C384" s="8" t="s">
        <v>1825</v>
      </c>
      <c r="D384" s="8" t="s">
        <v>1826</v>
      </c>
      <c r="E384" s="8">
        <v>5</v>
      </c>
      <c r="F384" s="8" t="s">
        <v>92</v>
      </c>
      <c r="G384" s="8">
        <v>1</v>
      </c>
      <c r="H384" s="8" t="s">
        <v>1830</v>
      </c>
      <c r="I384" s="8" t="s">
        <v>1827</v>
      </c>
      <c r="J384" s="8" t="s">
        <v>1762</v>
      </c>
      <c r="K384" s="8" t="s">
        <v>1760</v>
      </c>
      <c r="L384" s="8" t="s">
        <v>1831</v>
      </c>
      <c r="M384" s="8" t="s">
        <v>1832</v>
      </c>
      <c r="N384" s="8" t="s">
        <v>31</v>
      </c>
      <c r="O384" s="8" t="s">
        <v>31</v>
      </c>
      <c r="P384" s="8" t="s">
        <v>31</v>
      </c>
      <c r="Q384" s="9" t="s">
        <v>1833</v>
      </c>
      <c r="R384" s="8" t="s">
        <v>53</v>
      </c>
      <c r="S384" s="10">
        <v>45503</v>
      </c>
      <c r="T384" s="14" t="s">
        <v>1834</v>
      </c>
      <c r="U384" s="8" t="s">
        <v>196</v>
      </c>
      <c r="V384" s="8" t="s">
        <v>155</v>
      </c>
      <c r="W384" s="8" t="s">
        <v>1835</v>
      </c>
      <c r="X384" s="8" t="s">
        <v>1836</v>
      </c>
      <c r="Y384" s="8" t="s">
        <v>58</v>
      </c>
      <c r="Z384" s="8" t="s">
        <v>31</v>
      </c>
      <c r="AA384" s="8" t="s">
        <v>1837</v>
      </c>
      <c r="AB384" s="8" t="s">
        <v>1838</v>
      </c>
      <c r="AC384" s="8" t="s">
        <v>1839</v>
      </c>
    </row>
    <row r="385" spans="1:29">
      <c r="A385" s="8">
        <v>384</v>
      </c>
      <c r="B385" s="8" t="s">
        <v>1840</v>
      </c>
      <c r="C385" s="8" t="s">
        <v>1825</v>
      </c>
      <c r="D385" s="8" t="s">
        <v>1826</v>
      </c>
      <c r="E385" s="8">
        <v>5</v>
      </c>
      <c r="F385" s="8" t="s">
        <v>92</v>
      </c>
      <c r="G385" s="8">
        <v>1</v>
      </c>
      <c r="H385" s="8" t="s">
        <v>1841</v>
      </c>
      <c r="I385" s="8" t="s">
        <v>1827</v>
      </c>
      <c r="J385" s="8" t="s">
        <v>1762</v>
      </c>
      <c r="K385" s="8" t="s">
        <v>1760</v>
      </c>
      <c r="L385" s="8" t="s">
        <v>1831</v>
      </c>
      <c r="M385" s="8" t="s">
        <v>1832</v>
      </c>
      <c r="N385" s="8" t="s">
        <v>31</v>
      </c>
      <c r="O385" s="8" t="s">
        <v>31</v>
      </c>
      <c r="P385" s="8" t="s">
        <v>31</v>
      </c>
      <c r="Q385" s="9" t="s">
        <v>1842</v>
      </c>
      <c r="R385" s="8" t="s">
        <v>53</v>
      </c>
      <c r="S385" s="10">
        <v>45503</v>
      </c>
      <c r="T385" s="8" t="s">
        <v>1843</v>
      </c>
      <c r="U385" s="8" t="s">
        <v>196</v>
      </c>
      <c r="V385" s="8" t="s">
        <v>155</v>
      </c>
      <c r="W385" s="8" t="s">
        <v>1835</v>
      </c>
      <c r="X385" s="8" t="s">
        <v>1844</v>
      </c>
      <c r="Y385" s="8" t="s">
        <v>58</v>
      </c>
      <c r="Z385" s="8" t="s">
        <v>31</v>
      </c>
      <c r="AA385" s="8" t="s">
        <v>1837</v>
      </c>
      <c r="AB385" s="8" t="s">
        <v>1838</v>
      </c>
      <c r="AC385" s="8" t="s">
        <v>1839</v>
      </c>
    </row>
    <row r="386" spans="1:29">
      <c r="A386" s="8">
        <v>385</v>
      </c>
      <c r="B386" s="8" t="s">
        <v>1845</v>
      </c>
      <c r="C386" s="8" t="s">
        <v>1808</v>
      </c>
      <c r="D386" s="8" t="s">
        <v>1809</v>
      </c>
      <c r="E386" s="8">
        <v>4</v>
      </c>
      <c r="F386" s="8" t="str">
        <f>IF(E386=0,"Overall",IF(E386=1,"Category",IF(E386=2,"Sub-category",IF(E386=3,"Indicator",IF(E386=4,"Sub-indicator", "Sub-sub-indicator")))))</f>
        <v>Sub-indicator</v>
      </c>
      <c r="G386" s="8">
        <v>0</v>
      </c>
      <c r="H386" s="8" t="s">
        <v>1846</v>
      </c>
      <c r="I386" s="8" t="s">
        <v>177</v>
      </c>
      <c r="J386" s="8" t="str">
        <f>$H$370</f>
        <v>HEALTH</v>
      </c>
      <c r="K386" s="8" t="str">
        <f>$H$369</f>
        <v>HUMAN DEVELOPMENT</v>
      </c>
      <c r="L386" s="8" t="s">
        <v>33</v>
      </c>
      <c r="M386" s="8" t="s">
        <v>31</v>
      </c>
      <c r="N386" s="8" t="s">
        <v>31</v>
      </c>
      <c r="O386" s="8" t="s">
        <v>31</v>
      </c>
      <c r="P386" s="8" t="s">
        <v>31</v>
      </c>
      <c r="Q386" s="9" t="s">
        <v>1847</v>
      </c>
      <c r="R386" s="8" t="s">
        <v>31</v>
      </c>
      <c r="S386" s="10" t="s">
        <v>31</v>
      </c>
      <c r="T386" s="8" t="s">
        <v>31</v>
      </c>
      <c r="U386" s="8" t="s">
        <v>31</v>
      </c>
      <c r="V386" s="8" t="s">
        <v>31</v>
      </c>
      <c r="W386" s="8" t="s">
        <v>31</v>
      </c>
      <c r="X386" s="8" t="s">
        <v>31</v>
      </c>
      <c r="Y386" s="8" t="s">
        <v>31</v>
      </c>
      <c r="Z386" s="8" t="s">
        <v>31</v>
      </c>
    </row>
    <row r="387" spans="1:29">
      <c r="A387" s="8">
        <v>386</v>
      </c>
      <c r="B387" s="8" t="s">
        <v>1848</v>
      </c>
      <c r="C387" s="8" t="s">
        <v>1845</v>
      </c>
      <c r="D387" s="8" t="s">
        <v>1846</v>
      </c>
      <c r="E387" s="8">
        <v>5</v>
      </c>
      <c r="F387" s="8" t="str">
        <f>IF(E387=0,"Overall",IF(E387=1,"Category",IF(E387=2,"Sub-category",IF(E387=3,"Indicator",IF(E387=4,"Sub-indicator", "Sub-sub-indicator")))))</f>
        <v>Sub-sub-indicator</v>
      </c>
      <c r="G387" s="8">
        <v>1</v>
      </c>
      <c r="H387" s="8" t="s">
        <v>1849</v>
      </c>
      <c r="I387" s="8" t="s">
        <v>177</v>
      </c>
      <c r="J387" s="8" t="str">
        <f>$H$370</f>
        <v>HEALTH</v>
      </c>
      <c r="K387" s="8" t="str">
        <f>$H$369</f>
        <v>HUMAN DEVELOPMENT</v>
      </c>
      <c r="L387" s="8" t="s">
        <v>178</v>
      </c>
      <c r="M387" s="8" t="s">
        <v>179</v>
      </c>
      <c r="N387" s="8" t="s">
        <v>31</v>
      </c>
      <c r="O387" s="8" t="s">
        <v>31</v>
      </c>
      <c r="P387" s="8" t="s">
        <v>31</v>
      </c>
      <c r="Q387" s="9" t="s">
        <v>1850</v>
      </c>
      <c r="R387" s="8" t="s">
        <v>97</v>
      </c>
      <c r="S387" s="10">
        <v>45456</v>
      </c>
      <c r="T387" s="8" t="s">
        <v>1851</v>
      </c>
      <c r="U387" s="8" t="s">
        <v>196</v>
      </c>
      <c r="V387" s="8" t="s">
        <v>155</v>
      </c>
      <c r="W387" s="8" t="s">
        <v>1852</v>
      </c>
      <c r="X387" s="8" t="s">
        <v>58</v>
      </c>
      <c r="Y387" s="8" t="s">
        <v>58</v>
      </c>
      <c r="Z387" s="8" t="s">
        <v>31</v>
      </c>
    </row>
    <row r="388" spans="1:29">
      <c r="A388" s="8">
        <v>387</v>
      </c>
      <c r="B388" s="8" t="s">
        <v>1853</v>
      </c>
      <c r="C388" s="8" t="s">
        <v>1845</v>
      </c>
      <c r="D388" s="8" t="s">
        <v>1846</v>
      </c>
      <c r="E388" s="8">
        <v>5</v>
      </c>
      <c r="F388" s="8" t="str">
        <f>IF(E388=0,"Overall",IF(E388=1,"Category",IF(E388=2,"Sub-category",IF(E388=3,"Indicator",IF(E388=4,"Sub-indicator", "Sub-sub-indicator")))))</f>
        <v>Sub-sub-indicator</v>
      </c>
      <c r="G388" s="8">
        <v>1</v>
      </c>
      <c r="H388" s="8" t="s">
        <v>1854</v>
      </c>
      <c r="I388" s="8" t="s">
        <v>177</v>
      </c>
      <c r="J388" s="8" t="str">
        <f>$H$370</f>
        <v>HEALTH</v>
      </c>
      <c r="K388" s="8" t="str">
        <f>$H$369</f>
        <v>HUMAN DEVELOPMENT</v>
      </c>
      <c r="L388" s="8" t="s">
        <v>178</v>
      </c>
      <c r="M388" s="8" t="s">
        <v>179</v>
      </c>
      <c r="N388" s="8" t="s">
        <v>31</v>
      </c>
      <c r="O388" s="8" t="s">
        <v>31</v>
      </c>
      <c r="P388" s="8" t="s">
        <v>31</v>
      </c>
      <c r="Q388" s="9" t="s">
        <v>1855</v>
      </c>
      <c r="R388" s="8" t="s">
        <v>97</v>
      </c>
      <c r="S388" s="10">
        <v>45456</v>
      </c>
      <c r="T388" s="8" t="s">
        <v>1856</v>
      </c>
      <c r="U388" s="8" t="s">
        <v>196</v>
      </c>
      <c r="V388" s="8" t="s">
        <v>155</v>
      </c>
      <c r="W388" s="8" t="s">
        <v>1857</v>
      </c>
      <c r="X388" s="8" t="s">
        <v>58</v>
      </c>
      <c r="Y388" s="8" t="s">
        <v>58</v>
      </c>
      <c r="Z388" s="8" t="s">
        <v>31</v>
      </c>
    </row>
    <row r="389" spans="1:29">
      <c r="A389" s="8">
        <v>388</v>
      </c>
      <c r="B389" s="8" t="s">
        <v>1858</v>
      </c>
      <c r="C389" s="8" t="s">
        <v>1845</v>
      </c>
      <c r="D389" s="8" t="s">
        <v>1846</v>
      </c>
      <c r="E389" s="8">
        <v>5</v>
      </c>
      <c r="F389" s="8" t="str">
        <f>IF(E389=0,"Overall",IF(E389=1,"Category",IF(E389=2,"Sub-category",IF(E389=3,"Indicator",IF(E389=4,"Sub-indicator", "Sub-sub-indicator")))))</f>
        <v>Sub-sub-indicator</v>
      </c>
      <c r="G389" s="8">
        <v>1</v>
      </c>
      <c r="H389" s="8" t="s">
        <v>1859</v>
      </c>
      <c r="I389" s="8" t="s">
        <v>177</v>
      </c>
      <c r="J389" s="8" t="str">
        <f>$H$370</f>
        <v>HEALTH</v>
      </c>
      <c r="K389" s="8" t="str">
        <f>$H$369</f>
        <v>HUMAN DEVELOPMENT</v>
      </c>
      <c r="L389" s="8" t="s">
        <v>178</v>
      </c>
      <c r="M389" s="8" t="s">
        <v>179</v>
      </c>
      <c r="N389" s="8" t="s">
        <v>31</v>
      </c>
      <c r="O389" s="8" t="s">
        <v>31</v>
      </c>
      <c r="P389" s="8" t="s">
        <v>31</v>
      </c>
      <c r="Q389" s="9" t="s">
        <v>1860</v>
      </c>
      <c r="R389" s="8" t="s">
        <v>97</v>
      </c>
      <c r="S389" s="10">
        <v>45456</v>
      </c>
      <c r="T389" s="8" t="s">
        <v>1861</v>
      </c>
      <c r="U389" s="8" t="s">
        <v>196</v>
      </c>
      <c r="V389" s="8" t="s">
        <v>155</v>
      </c>
      <c r="W389" s="8" t="s">
        <v>1862</v>
      </c>
      <c r="X389" s="8" t="s">
        <v>58</v>
      </c>
      <c r="Y389" s="8" t="s">
        <v>58</v>
      </c>
      <c r="Z389" s="8" t="s">
        <v>31</v>
      </c>
    </row>
    <row r="390" spans="1:29">
      <c r="A390" s="8">
        <v>389</v>
      </c>
      <c r="B390" s="8" t="s">
        <v>1863</v>
      </c>
      <c r="C390" s="8" t="s">
        <v>1762</v>
      </c>
      <c r="D390" s="8" t="s">
        <v>1762</v>
      </c>
      <c r="E390" s="12">
        <v>3</v>
      </c>
      <c r="F390" s="12" t="str">
        <f>IF(E390=0,"Overall",IF(E390=1,"Category",IF(E390=2,"Sub-category",IF(E390=3,"Indicator",IF(E390=4,"Sub-indicator", "Sub-sub-indicator")))))</f>
        <v>Indicator</v>
      </c>
      <c r="G390" s="8">
        <v>0</v>
      </c>
      <c r="H390" s="12" t="s">
        <v>1864</v>
      </c>
      <c r="I390" s="8" t="s">
        <v>1865</v>
      </c>
      <c r="J390" s="8" t="str">
        <f>$H$370</f>
        <v>HEALTH</v>
      </c>
      <c r="K390" s="8" t="str">
        <f>$H$369</f>
        <v>HUMAN DEVELOPMENT</v>
      </c>
      <c r="L390" s="8" t="s">
        <v>33</v>
      </c>
      <c r="M390" s="8" t="s">
        <v>31</v>
      </c>
      <c r="N390" s="8" t="s">
        <v>31</v>
      </c>
      <c r="O390" s="8" t="s">
        <v>31</v>
      </c>
      <c r="P390" s="8" t="s">
        <v>31</v>
      </c>
      <c r="Q390" s="9" t="s">
        <v>1866</v>
      </c>
      <c r="R390" s="8" t="s">
        <v>31</v>
      </c>
      <c r="S390" s="10" t="s">
        <v>31</v>
      </c>
      <c r="T390" s="8" t="s">
        <v>31</v>
      </c>
      <c r="U390" s="8" t="s">
        <v>31</v>
      </c>
      <c r="V390" s="8" t="s">
        <v>31</v>
      </c>
      <c r="W390" s="8" t="s">
        <v>31</v>
      </c>
      <c r="X390" s="8" t="s">
        <v>31</v>
      </c>
      <c r="Y390" s="8" t="s">
        <v>31</v>
      </c>
      <c r="Z390" s="8" t="s">
        <v>31</v>
      </c>
    </row>
    <row r="391" spans="1:29">
      <c r="A391" s="8">
        <v>390</v>
      </c>
      <c r="B391" s="8" t="s">
        <v>1867</v>
      </c>
      <c r="C391" s="8" t="s">
        <v>1863</v>
      </c>
      <c r="D391" s="8" t="s">
        <v>1864</v>
      </c>
      <c r="E391" s="8">
        <v>4</v>
      </c>
      <c r="F391" s="8" t="s">
        <v>136</v>
      </c>
      <c r="G391" s="8">
        <v>1</v>
      </c>
      <c r="H391" s="8" t="s">
        <v>1868</v>
      </c>
      <c r="I391" s="8" t="s">
        <v>1865</v>
      </c>
      <c r="J391" s="8" t="s">
        <v>1762</v>
      </c>
      <c r="K391" s="8" t="s">
        <v>1760</v>
      </c>
      <c r="L391" s="8" t="s">
        <v>1869</v>
      </c>
      <c r="M391" s="8" t="s">
        <v>1870</v>
      </c>
      <c r="N391" s="8" t="s">
        <v>31</v>
      </c>
      <c r="O391" s="8" t="s">
        <v>31</v>
      </c>
      <c r="P391" s="8" t="s">
        <v>31</v>
      </c>
      <c r="Q391" s="9" t="s">
        <v>1871</v>
      </c>
      <c r="R391" s="8" t="s">
        <v>1108</v>
      </c>
      <c r="S391" s="10">
        <v>45441</v>
      </c>
      <c r="T391" s="8" t="s">
        <v>1872</v>
      </c>
      <c r="U391" s="8" t="s">
        <v>196</v>
      </c>
      <c r="V391" s="8" t="s">
        <v>56</v>
      </c>
      <c r="W391" s="8" t="s">
        <v>1873</v>
      </c>
      <c r="X391" s="8" t="s">
        <v>58</v>
      </c>
      <c r="Y391" s="8" t="s">
        <v>58</v>
      </c>
      <c r="Z391" s="8" t="s">
        <v>31</v>
      </c>
      <c r="AA391" s="8" t="s">
        <v>1874</v>
      </c>
    </row>
    <row r="392" spans="1:29">
      <c r="A392" s="8">
        <v>391</v>
      </c>
      <c r="B392" s="8" t="s">
        <v>1875</v>
      </c>
      <c r="C392" s="8" t="s">
        <v>1863</v>
      </c>
      <c r="D392" s="8" t="s">
        <v>1864</v>
      </c>
      <c r="E392" s="8">
        <v>4</v>
      </c>
      <c r="F392" s="8" t="s">
        <v>136</v>
      </c>
      <c r="G392" s="8">
        <v>1</v>
      </c>
      <c r="H392" s="8" t="s">
        <v>1876</v>
      </c>
      <c r="I392" s="8" t="s">
        <v>1865</v>
      </c>
      <c r="J392" s="8" t="s">
        <v>1762</v>
      </c>
      <c r="K392" s="8" t="s">
        <v>1760</v>
      </c>
      <c r="L392" s="8" t="s">
        <v>1869</v>
      </c>
      <c r="M392" s="8" t="s">
        <v>1870</v>
      </c>
      <c r="N392" s="8" t="s">
        <v>31</v>
      </c>
      <c r="O392" s="8" t="s">
        <v>31</v>
      </c>
      <c r="P392" s="8" t="s">
        <v>31</v>
      </c>
      <c r="Q392" s="9" t="s">
        <v>1877</v>
      </c>
      <c r="R392" s="8" t="s">
        <v>1108</v>
      </c>
      <c r="S392" s="10">
        <v>45441</v>
      </c>
      <c r="T392" s="8" t="s">
        <v>1878</v>
      </c>
      <c r="U392" s="8" t="s">
        <v>183</v>
      </c>
      <c r="V392" s="8" t="s">
        <v>56</v>
      </c>
      <c r="W392" s="8" t="s">
        <v>1879</v>
      </c>
      <c r="X392" s="8" t="s">
        <v>58</v>
      </c>
      <c r="Y392" s="8" t="s">
        <v>58</v>
      </c>
      <c r="Z392" s="8" t="s">
        <v>31</v>
      </c>
    </row>
    <row r="393" spans="1:29">
      <c r="A393" s="8">
        <v>392</v>
      </c>
      <c r="B393" s="8" t="s">
        <v>1880</v>
      </c>
      <c r="C393" s="8" t="s">
        <v>1762</v>
      </c>
      <c r="D393" s="8" t="s">
        <v>1762</v>
      </c>
      <c r="E393" s="12">
        <v>3</v>
      </c>
      <c r="F393" s="12" t="str">
        <f>IF(E393=0,"Overall",IF(E393=1,"Category",IF(E393=2,"Sub-category",IF(E393=3,"Indicator",IF(E393=4,"Sub-indicator", "Sub-sub-indicator")))))</f>
        <v>Indicator</v>
      </c>
      <c r="G393" s="8">
        <v>0</v>
      </c>
      <c r="H393" s="12" t="s">
        <v>1881</v>
      </c>
      <c r="I393" s="8" t="s">
        <v>1882</v>
      </c>
      <c r="J393" s="8" t="str">
        <f>$H$370</f>
        <v>HEALTH</v>
      </c>
      <c r="K393" s="8" t="str">
        <f>$H$369</f>
        <v>HUMAN DEVELOPMENT</v>
      </c>
      <c r="L393" s="8" t="s">
        <v>33</v>
      </c>
      <c r="M393" s="8" t="s">
        <v>31</v>
      </c>
      <c r="N393" s="8" t="s">
        <v>31</v>
      </c>
      <c r="O393" s="8" t="s">
        <v>31</v>
      </c>
      <c r="P393" s="8" t="s">
        <v>31</v>
      </c>
      <c r="Q393" s="9" t="s">
        <v>1883</v>
      </c>
      <c r="R393" s="8" t="s">
        <v>31</v>
      </c>
      <c r="S393" s="10" t="s">
        <v>31</v>
      </c>
      <c r="T393" s="8" t="s">
        <v>31</v>
      </c>
      <c r="U393" s="8" t="s">
        <v>31</v>
      </c>
      <c r="V393" s="8" t="s">
        <v>31</v>
      </c>
      <c r="W393" s="8" t="s">
        <v>31</v>
      </c>
      <c r="X393" s="8" t="s">
        <v>31</v>
      </c>
      <c r="Y393" s="8" t="s">
        <v>31</v>
      </c>
      <c r="Z393" s="8" t="s">
        <v>31</v>
      </c>
    </row>
    <row r="394" spans="1:29">
      <c r="A394" s="8">
        <v>393</v>
      </c>
      <c r="B394" s="8" t="s">
        <v>1884</v>
      </c>
      <c r="C394" s="8" t="s">
        <v>1880</v>
      </c>
      <c r="D394" s="8" t="s">
        <v>1881</v>
      </c>
      <c r="E394" s="8">
        <v>4</v>
      </c>
      <c r="F394" s="8" t="str">
        <f>IF(E394=0,"Overall",IF(E394=1,"Category",IF(E394=2,"Sub-category",IF(E394=3,"Indicator",IF(E394=4,"Sub-indicator", "Sub-sub-indicator")))))</f>
        <v>Sub-indicator</v>
      </c>
      <c r="G394" s="8">
        <v>1</v>
      </c>
      <c r="H394" s="8" t="s">
        <v>1885</v>
      </c>
      <c r="I394" s="8" t="s">
        <v>1886</v>
      </c>
      <c r="J394" s="8" t="str">
        <f>$H$370</f>
        <v>HEALTH</v>
      </c>
      <c r="K394" s="8" t="str">
        <f>$H$369</f>
        <v>HUMAN DEVELOPMENT</v>
      </c>
      <c r="L394" s="8" t="s">
        <v>1887</v>
      </c>
      <c r="M394" s="8" t="s">
        <v>1888</v>
      </c>
      <c r="N394" s="8" t="s">
        <v>31</v>
      </c>
      <c r="O394" s="8" t="s">
        <v>31</v>
      </c>
      <c r="P394" s="8" t="s">
        <v>31</v>
      </c>
      <c r="Q394" s="9" t="s">
        <v>1889</v>
      </c>
      <c r="R394" s="8" t="s">
        <v>97</v>
      </c>
      <c r="S394" s="10">
        <v>45440</v>
      </c>
      <c r="T394" s="8" t="s">
        <v>1890</v>
      </c>
      <c r="U394" s="8" t="s">
        <v>1891</v>
      </c>
      <c r="V394" s="8" t="s">
        <v>56</v>
      </c>
      <c r="W394" s="8" t="s">
        <v>1892</v>
      </c>
      <c r="X394" s="8" t="s">
        <v>58</v>
      </c>
      <c r="Y394" s="8" t="s">
        <v>58</v>
      </c>
      <c r="Z394" s="8" t="s">
        <v>31</v>
      </c>
      <c r="AA394" s="8" t="s">
        <v>1893</v>
      </c>
    </row>
    <row r="395" spans="1:29">
      <c r="A395" s="8">
        <v>394</v>
      </c>
      <c r="B395" s="8" t="s">
        <v>1894</v>
      </c>
      <c r="C395" s="8" t="s">
        <v>1880</v>
      </c>
      <c r="D395" s="8" t="s">
        <v>1881</v>
      </c>
      <c r="E395" s="8">
        <v>4</v>
      </c>
      <c r="F395" s="8" t="str">
        <f>IF(E395=0,"Overall",IF(E395=1,"Category",IF(E395=2,"Sub-category",IF(E395=3,"Indicator",IF(E395=4,"Sub-indicator", "Sub-sub-indicator")))))</f>
        <v>Sub-indicator</v>
      </c>
      <c r="G395" s="8">
        <v>1</v>
      </c>
      <c r="H395" s="8" t="s">
        <v>1895</v>
      </c>
      <c r="I395" s="8" t="s">
        <v>1896</v>
      </c>
      <c r="J395" s="8" t="str">
        <f>$H$370</f>
        <v>HEALTH</v>
      </c>
      <c r="K395" s="8" t="str">
        <f>$H$369</f>
        <v>HUMAN DEVELOPMENT</v>
      </c>
      <c r="L395" s="8" t="s">
        <v>1897</v>
      </c>
      <c r="M395" s="8" t="s">
        <v>1898</v>
      </c>
      <c r="N395" s="8" t="s">
        <v>31</v>
      </c>
      <c r="O395" s="8" t="s">
        <v>31</v>
      </c>
      <c r="P395" s="8" t="s">
        <v>31</v>
      </c>
      <c r="Q395" s="9" t="s">
        <v>1899</v>
      </c>
      <c r="R395" s="8" t="s">
        <v>1659</v>
      </c>
      <c r="S395" s="10">
        <v>45448</v>
      </c>
      <c r="T395" s="8" t="s">
        <v>1900</v>
      </c>
      <c r="U395" s="14" t="s">
        <v>183</v>
      </c>
      <c r="V395" s="8" t="s">
        <v>56</v>
      </c>
      <c r="W395" s="8" t="s">
        <v>1901</v>
      </c>
      <c r="X395" s="8" t="s">
        <v>58</v>
      </c>
      <c r="Y395" s="8" t="s">
        <v>58</v>
      </c>
      <c r="Z395" s="8" t="s">
        <v>31</v>
      </c>
      <c r="AA395" s="8" t="s">
        <v>1902</v>
      </c>
      <c r="AB395" s="8" t="s">
        <v>1903</v>
      </c>
    </row>
    <row r="396" spans="1:29">
      <c r="A396" s="8">
        <v>395</v>
      </c>
      <c r="B396" s="8" t="s">
        <v>1904</v>
      </c>
      <c r="C396" s="8" t="s">
        <v>1880</v>
      </c>
      <c r="D396" s="8" t="s">
        <v>1881</v>
      </c>
      <c r="E396" s="8">
        <v>4</v>
      </c>
      <c r="F396" s="8" t="s">
        <v>136</v>
      </c>
      <c r="G396" s="8">
        <v>1</v>
      </c>
      <c r="H396" s="8" t="s">
        <v>1905</v>
      </c>
      <c r="I396" s="8" t="s">
        <v>558</v>
      </c>
      <c r="J396" s="8" t="str">
        <f>$H$370</f>
        <v>HEALTH</v>
      </c>
      <c r="K396" s="8" t="str">
        <f>$H$369</f>
        <v>HUMAN DEVELOPMENT</v>
      </c>
      <c r="L396" s="8" t="s">
        <v>1906</v>
      </c>
      <c r="M396" s="8" t="s">
        <v>1907</v>
      </c>
      <c r="N396" s="8" t="s">
        <v>31</v>
      </c>
      <c r="O396" s="8" t="s">
        <v>31</v>
      </c>
      <c r="P396" s="8" t="s">
        <v>31</v>
      </c>
      <c r="Q396" s="9" t="s">
        <v>1908</v>
      </c>
      <c r="R396" s="8" t="s">
        <v>53</v>
      </c>
      <c r="S396" s="10">
        <v>45433</v>
      </c>
      <c r="T396" s="8" t="s">
        <v>1909</v>
      </c>
      <c r="U396" s="8" t="s">
        <v>196</v>
      </c>
      <c r="V396" s="8" t="s">
        <v>155</v>
      </c>
      <c r="W396" s="8" t="s">
        <v>1910</v>
      </c>
      <c r="X396" s="8" t="s">
        <v>1559</v>
      </c>
      <c r="Y396" s="8" t="s">
        <v>58</v>
      </c>
      <c r="Z396" s="8" t="s">
        <v>31</v>
      </c>
    </row>
    <row r="397" spans="1:29">
      <c r="A397" s="8">
        <v>396</v>
      </c>
      <c r="B397" s="8" t="s">
        <v>1911</v>
      </c>
      <c r="C397" s="8" t="s">
        <v>1880</v>
      </c>
      <c r="D397" s="8" t="s">
        <v>1881</v>
      </c>
      <c r="E397" s="8">
        <v>4</v>
      </c>
      <c r="F397" s="8" t="s">
        <v>136</v>
      </c>
      <c r="G397" s="8">
        <v>1</v>
      </c>
      <c r="H397" s="8" t="s">
        <v>1912</v>
      </c>
      <c r="I397" s="8" t="s">
        <v>1913</v>
      </c>
      <c r="J397" s="8" t="s">
        <v>1762</v>
      </c>
      <c r="K397" s="8" t="s">
        <v>1760</v>
      </c>
      <c r="L397" s="8" t="s">
        <v>1914</v>
      </c>
      <c r="M397" s="8" t="s">
        <v>1915</v>
      </c>
      <c r="N397" s="8" t="s">
        <v>31</v>
      </c>
      <c r="O397" s="8" t="s">
        <v>31</v>
      </c>
      <c r="P397" s="8" t="s">
        <v>31</v>
      </c>
      <c r="Q397" s="9" t="s">
        <v>1916</v>
      </c>
      <c r="R397" s="8" t="s">
        <v>97</v>
      </c>
      <c r="S397" s="10">
        <v>45504</v>
      </c>
      <c r="T397" s="8" t="s">
        <v>1917</v>
      </c>
      <c r="U397" s="14" t="s">
        <v>196</v>
      </c>
      <c r="V397" s="8" t="s">
        <v>56</v>
      </c>
      <c r="W397" s="8" t="s">
        <v>1918</v>
      </c>
      <c r="X397" s="8" t="s">
        <v>58</v>
      </c>
      <c r="Y397" s="8" t="s">
        <v>58</v>
      </c>
      <c r="Z397" s="8" t="s">
        <v>31</v>
      </c>
      <c r="AA397" s="8" t="s">
        <v>1919</v>
      </c>
    </row>
    <row r="398" spans="1:29">
      <c r="A398" s="8">
        <v>397</v>
      </c>
      <c r="B398" s="8" t="s">
        <v>1920</v>
      </c>
      <c r="C398" s="8" t="s">
        <v>1762</v>
      </c>
      <c r="D398" s="8" t="s">
        <v>1762</v>
      </c>
      <c r="E398" s="12">
        <v>3</v>
      </c>
      <c r="F398" s="12" t="str">
        <f t="shared" ref="F398:F417" si="40">IF(E398=0,"Overall",IF(E398=1,"Category",IF(E398=2,"Sub-category",IF(E398=3,"Indicator",IF(E398=4,"Sub-indicator", "Sub-sub-indicator")))))</f>
        <v>Indicator</v>
      </c>
      <c r="G398" s="8">
        <v>0</v>
      </c>
      <c r="H398" s="12" t="s">
        <v>1921</v>
      </c>
      <c r="I398" s="8" t="s">
        <v>177</v>
      </c>
      <c r="J398" s="8" t="str">
        <f>$H$370</f>
        <v>HEALTH</v>
      </c>
      <c r="K398" s="8" t="str">
        <f>$H$369</f>
        <v>HUMAN DEVELOPMENT</v>
      </c>
      <c r="L398" s="8" t="s">
        <v>33</v>
      </c>
      <c r="M398" s="8" t="s">
        <v>31</v>
      </c>
      <c r="N398" s="8" t="s">
        <v>31</v>
      </c>
      <c r="O398" s="8" t="s">
        <v>31</v>
      </c>
      <c r="P398" s="8" t="s">
        <v>31</v>
      </c>
      <c r="Q398" s="9" t="s">
        <v>1922</v>
      </c>
      <c r="R398" s="8" t="s">
        <v>1923</v>
      </c>
      <c r="S398" s="10">
        <v>45456</v>
      </c>
      <c r="T398" s="8" t="s">
        <v>1924</v>
      </c>
      <c r="U398" s="8" t="s">
        <v>196</v>
      </c>
      <c r="V398" s="8" t="s">
        <v>155</v>
      </c>
      <c r="W398" s="8" t="s">
        <v>1925</v>
      </c>
      <c r="X398" s="8" t="s">
        <v>58</v>
      </c>
      <c r="Y398" s="8" t="s">
        <v>1926</v>
      </c>
      <c r="Z398" s="8" t="s">
        <v>31</v>
      </c>
      <c r="AA398" s="8" t="s">
        <v>1927</v>
      </c>
    </row>
    <row r="399" spans="1:29">
      <c r="A399" s="8">
        <v>398</v>
      </c>
      <c r="B399" s="8" t="s">
        <v>1928</v>
      </c>
      <c r="C399" s="8" t="s">
        <v>1920</v>
      </c>
      <c r="D399" s="8" t="s">
        <v>1921</v>
      </c>
      <c r="E399" s="21">
        <v>4</v>
      </c>
      <c r="F399" s="21" t="s">
        <v>136</v>
      </c>
      <c r="G399" s="8">
        <v>1</v>
      </c>
      <c r="H399" s="8" t="s">
        <v>1929</v>
      </c>
      <c r="I399" s="8" t="s">
        <v>177</v>
      </c>
      <c r="J399" s="8" t="str">
        <f t="shared" ref="J399:J405" si="41">$H$370</f>
        <v>HEALTH</v>
      </c>
      <c r="K399" s="8" t="str">
        <f t="shared" ref="K399:K405" si="42">$H$369</f>
        <v>HUMAN DEVELOPMENT</v>
      </c>
      <c r="L399" s="8" t="s">
        <v>178</v>
      </c>
      <c r="M399" s="8" t="s">
        <v>179</v>
      </c>
      <c r="N399" s="8" t="s">
        <v>31</v>
      </c>
      <c r="O399" s="8" t="s">
        <v>31</v>
      </c>
      <c r="P399" s="8" t="s">
        <v>31</v>
      </c>
      <c r="Q399" s="9" t="s">
        <v>1930</v>
      </c>
      <c r="R399" s="8" t="s">
        <v>963</v>
      </c>
      <c r="S399" s="10">
        <v>45506</v>
      </c>
      <c r="T399" s="8" t="s">
        <v>1931</v>
      </c>
      <c r="U399" s="8" t="s">
        <v>196</v>
      </c>
      <c r="V399" s="8" t="s">
        <v>155</v>
      </c>
      <c r="W399" s="8" t="s">
        <v>1932</v>
      </c>
      <c r="X399" s="8" t="s">
        <v>58</v>
      </c>
      <c r="Y399" s="8" t="s">
        <v>58</v>
      </c>
      <c r="Z399" s="8" t="s">
        <v>31</v>
      </c>
      <c r="AA399" s="8" t="s">
        <v>1933</v>
      </c>
    </row>
    <row r="400" spans="1:29">
      <c r="A400" s="8">
        <v>399</v>
      </c>
      <c r="B400" s="8" t="s">
        <v>1934</v>
      </c>
      <c r="C400" s="8" t="s">
        <v>1920</v>
      </c>
      <c r="D400" s="8" t="s">
        <v>1921</v>
      </c>
      <c r="E400" s="21">
        <v>4</v>
      </c>
      <c r="F400" s="21" t="s">
        <v>136</v>
      </c>
      <c r="G400" s="8">
        <v>1</v>
      </c>
      <c r="H400" s="8" t="s">
        <v>1935</v>
      </c>
      <c r="I400" s="8" t="s">
        <v>177</v>
      </c>
      <c r="J400" s="8" t="str">
        <f t="shared" si="41"/>
        <v>HEALTH</v>
      </c>
      <c r="K400" s="8" t="str">
        <f t="shared" si="42"/>
        <v>HUMAN DEVELOPMENT</v>
      </c>
      <c r="L400" s="8" t="s">
        <v>178</v>
      </c>
      <c r="M400" s="8" t="s">
        <v>179</v>
      </c>
      <c r="N400" s="8" t="s">
        <v>31</v>
      </c>
      <c r="O400" s="8" t="s">
        <v>31</v>
      </c>
      <c r="P400" s="8" t="s">
        <v>31</v>
      </c>
      <c r="Q400" s="9" t="s">
        <v>1936</v>
      </c>
      <c r="R400" s="8" t="s">
        <v>963</v>
      </c>
      <c r="S400" s="10">
        <v>45506</v>
      </c>
      <c r="T400" s="8" t="s">
        <v>1937</v>
      </c>
      <c r="U400" s="8" t="s">
        <v>196</v>
      </c>
      <c r="V400" s="8" t="s">
        <v>155</v>
      </c>
      <c r="W400" s="8" t="s">
        <v>1932</v>
      </c>
      <c r="X400" s="8" t="s">
        <v>58</v>
      </c>
      <c r="Y400" s="8" t="s">
        <v>58</v>
      </c>
      <c r="Z400" s="8" t="s">
        <v>31</v>
      </c>
      <c r="AA400" s="8" t="s">
        <v>1933</v>
      </c>
    </row>
    <row r="401" spans="1:28">
      <c r="A401" s="8">
        <v>400</v>
      </c>
      <c r="B401" s="8" t="s">
        <v>1938</v>
      </c>
      <c r="C401" s="8" t="s">
        <v>1920</v>
      </c>
      <c r="D401" s="8" t="s">
        <v>1921</v>
      </c>
      <c r="E401" s="21">
        <v>4</v>
      </c>
      <c r="F401" s="21" t="s">
        <v>136</v>
      </c>
      <c r="G401" s="8">
        <v>1</v>
      </c>
      <c r="H401" s="8" t="s">
        <v>1939</v>
      </c>
      <c r="I401" s="8" t="s">
        <v>177</v>
      </c>
      <c r="J401" s="8" t="str">
        <f t="shared" si="41"/>
        <v>HEALTH</v>
      </c>
      <c r="K401" s="8" t="str">
        <f t="shared" si="42"/>
        <v>HUMAN DEVELOPMENT</v>
      </c>
      <c r="L401" s="8" t="s">
        <v>178</v>
      </c>
      <c r="M401" s="8" t="s">
        <v>179</v>
      </c>
      <c r="N401" s="8" t="s">
        <v>31</v>
      </c>
      <c r="O401" s="8" t="s">
        <v>31</v>
      </c>
      <c r="P401" s="8" t="s">
        <v>31</v>
      </c>
      <c r="Q401" s="9" t="s">
        <v>1940</v>
      </c>
      <c r="R401" s="8" t="s">
        <v>963</v>
      </c>
      <c r="S401" s="10">
        <v>45506</v>
      </c>
      <c r="T401" s="8" t="s">
        <v>1941</v>
      </c>
      <c r="U401" s="8" t="s">
        <v>196</v>
      </c>
      <c r="V401" s="8" t="s">
        <v>155</v>
      </c>
      <c r="W401" s="8" t="s">
        <v>1932</v>
      </c>
      <c r="X401" s="8" t="s">
        <v>58</v>
      </c>
      <c r="Y401" s="8" t="s">
        <v>58</v>
      </c>
      <c r="Z401" s="8" t="s">
        <v>31</v>
      </c>
      <c r="AA401" s="8" t="s">
        <v>1933</v>
      </c>
    </row>
    <row r="402" spans="1:28">
      <c r="A402" s="8">
        <v>401</v>
      </c>
      <c r="B402" s="8" t="s">
        <v>1942</v>
      </c>
      <c r="C402" s="8" t="s">
        <v>1762</v>
      </c>
      <c r="D402" s="8" t="s">
        <v>1762</v>
      </c>
      <c r="E402" s="12">
        <v>3</v>
      </c>
      <c r="F402" s="12" t="s">
        <v>186</v>
      </c>
      <c r="G402" s="8">
        <v>0</v>
      </c>
      <c r="H402" s="12" t="s">
        <v>1943</v>
      </c>
      <c r="I402" s="8" t="s">
        <v>188</v>
      </c>
      <c r="J402" s="8" t="str">
        <f t="shared" si="41"/>
        <v>HEALTH</v>
      </c>
      <c r="K402" s="8" t="str">
        <f t="shared" si="42"/>
        <v>HUMAN DEVELOPMENT</v>
      </c>
      <c r="L402" s="8" t="s">
        <v>33</v>
      </c>
      <c r="M402" s="8" t="s">
        <v>31</v>
      </c>
      <c r="N402" s="8" t="s">
        <v>31</v>
      </c>
      <c r="O402" s="8" t="s">
        <v>31</v>
      </c>
      <c r="P402" s="8" t="s">
        <v>31</v>
      </c>
      <c r="Q402" s="9" t="s">
        <v>1944</v>
      </c>
      <c r="R402" s="8" t="s">
        <v>31</v>
      </c>
      <c r="S402" s="10" t="s">
        <v>31</v>
      </c>
      <c r="T402" s="8" t="s">
        <v>31</v>
      </c>
      <c r="U402" s="8" t="s">
        <v>31</v>
      </c>
      <c r="V402" s="8" t="s">
        <v>31</v>
      </c>
      <c r="W402" s="8" t="s">
        <v>31</v>
      </c>
      <c r="X402" s="8" t="s">
        <v>31</v>
      </c>
      <c r="Y402" s="8" t="s">
        <v>31</v>
      </c>
      <c r="Z402" s="8" t="s">
        <v>31</v>
      </c>
    </row>
    <row r="403" spans="1:28">
      <c r="A403" s="8">
        <v>402</v>
      </c>
      <c r="B403" s="8" t="s">
        <v>1945</v>
      </c>
      <c r="C403" s="8" t="s">
        <v>1942</v>
      </c>
      <c r="D403" s="8" t="s">
        <v>1943</v>
      </c>
      <c r="E403" s="21">
        <v>4</v>
      </c>
      <c r="F403" s="21" t="s">
        <v>136</v>
      </c>
      <c r="G403" s="21">
        <v>1</v>
      </c>
      <c r="H403" s="8" t="s">
        <v>1946</v>
      </c>
      <c r="I403" s="8" t="s">
        <v>188</v>
      </c>
      <c r="J403" s="8" t="str">
        <f t="shared" si="41"/>
        <v>HEALTH</v>
      </c>
      <c r="K403" s="8" t="str">
        <f t="shared" si="42"/>
        <v>HUMAN DEVELOPMENT</v>
      </c>
      <c r="L403" s="8" t="s">
        <v>192</v>
      </c>
      <c r="M403" s="8" t="s">
        <v>193</v>
      </c>
      <c r="N403" s="8" t="s">
        <v>31</v>
      </c>
      <c r="O403" s="8" t="s">
        <v>31</v>
      </c>
      <c r="P403" s="8" t="s">
        <v>31</v>
      </c>
      <c r="Q403" s="8" t="s">
        <v>1947</v>
      </c>
      <c r="R403" s="8" t="s">
        <v>53</v>
      </c>
      <c r="S403" s="10">
        <v>45498</v>
      </c>
      <c r="T403" s="8" t="s">
        <v>1948</v>
      </c>
      <c r="U403" s="8" t="s">
        <v>196</v>
      </c>
      <c r="V403" s="8" t="s">
        <v>197</v>
      </c>
      <c r="W403" s="8" t="s">
        <v>198</v>
      </c>
      <c r="X403" s="8" t="s">
        <v>748</v>
      </c>
      <c r="Y403" s="8" t="s">
        <v>749</v>
      </c>
      <c r="Z403" s="8" t="s">
        <v>31</v>
      </c>
      <c r="AA403" s="8" t="s">
        <v>201</v>
      </c>
      <c r="AB403" s="8" t="s">
        <v>202</v>
      </c>
    </row>
    <row r="404" spans="1:28">
      <c r="A404" s="8">
        <v>403</v>
      </c>
      <c r="B404" s="8" t="s">
        <v>1949</v>
      </c>
      <c r="C404" s="8" t="s">
        <v>1942</v>
      </c>
      <c r="D404" s="8" t="s">
        <v>1943</v>
      </c>
      <c r="E404" s="21">
        <v>4</v>
      </c>
      <c r="F404" s="21" t="s">
        <v>136</v>
      </c>
      <c r="G404" s="21">
        <v>1</v>
      </c>
      <c r="H404" s="8" t="s">
        <v>1950</v>
      </c>
      <c r="I404" s="8" t="s">
        <v>188</v>
      </c>
      <c r="J404" s="8" t="str">
        <f t="shared" si="41"/>
        <v>HEALTH</v>
      </c>
      <c r="K404" s="8" t="str">
        <f t="shared" si="42"/>
        <v>HUMAN DEVELOPMENT</v>
      </c>
      <c r="L404" s="8" t="s">
        <v>192</v>
      </c>
      <c r="M404" s="8" t="s">
        <v>193</v>
      </c>
      <c r="N404" s="8" t="s">
        <v>31</v>
      </c>
      <c r="O404" s="8" t="s">
        <v>31</v>
      </c>
      <c r="P404" s="8" t="s">
        <v>31</v>
      </c>
      <c r="Q404" s="8" t="s">
        <v>1951</v>
      </c>
      <c r="R404" s="8" t="s">
        <v>53</v>
      </c>
      <c r="S404" s="10">
        <v>45498</v>
      </c>
      <c r="T404" s="8" t="s">
        <v>1952</v>
      </c>
      <c r="U404" s="8" t="s">
        <v>196</v>
      </c>
      <c r="V404" s="8" t="s">
        <v>197</v>
      </c>
      <c r="W404" s="8" t="s">
        <v>198</v>
      </c>
      <c r="X404" s="8" t="s">
        <v>199</v>
      </c>
      <c r="Y404" s="8" t="s">
        <v>200</v>
      </c>
      <c r="Z404" s="8" t="s">
        <v>31</v>
      </c>
      <c r="AA404" s="8" t="s">
        <v>201</v>
      </c>
      <c r="AB404" s="8" t="s">
        <v>202</v>
      </c>
    </row>
    <row r="405" spans="1:28">
      <c r="A405" s="8">
        <v>404</v>
      </c>
      <c r="B405" s="8" t="s">
        <v>1953</v>
      </c>
      <c r="C405" s="8" t="s">
        <v>1942</v>
      </c>
      <c r="D405" s="8" t="s">
        <v>1943</v>
      </c>
      <c r="E405" s="21">
        <v>4</v>
      </c>
      <c r="F405" s="21" t="s">
        <v>136</v>
      </c>
      <c r="G405" s="21">
        <v>1</v>
      </c>
      <c r="H405" s="8" t="s">
        <v>1954</v>
      </c>
      <c r="I405" s="8" t="s">
        <v>188</v>
      </c>
      <c r="J405" s="8" t="str">
        <f t="shared" si="41"/>
        <v>HEALTH</v>
      </c>
      <c r="K405" s="8" t="str">
        <f t="shared" si="42"/>
        <v>HUMAN DEVELOPMENT</v>
      </c>
      <c r="L405" s="8" t="s">
        <v>192</v>
      </c>
      <c r="M405" s="8" t="s">
        <v>193</v>
      </c>
      <c r="N405" s="8" t="s">
        <v>31</v>
      </c>
      <c r="O405" s="8" t="s">
        <v>31</v>
      </c>
      <c r="P405" s="8" t="s">
        <v>31</v>
      </c>
      <c r="Q405" s="8" t="s">
        <v>1955</v>
      </c>
      <c r="R405" s="8" t="s">
        <v>53</v>
      </c>
      <c r="S405" s="10">
        <v>45498</v>
      </c>
      <c r="T405" s="8" t="s">
        <v>1956</v>
      </c>
      <c r="U405" s="8" t="s">
        <v>196</v>
      </c>
      <c r="V405" s="8" t="s">
        <v>197</v>
      </c>
      <c r="W405" s="8" t="s">
        <v>198</v>
      </c>
      <c r="X405" s="8" t="s">
        <v>199</v>
      </c>
      <c r="Y405" s="8" t="s">
        <v>200</v>
      </c>
      <c r="Z405" s="8" t="s">
        <v>31</v>
      </c>
      <c r="AA405" s="8" t="s">
        <v>201</v>
      </c>
      <c r="AB405" s="8" t="s">
        <v>202</v>
      </c>
    </row>
    <row r="406" spans="1:28" s="6" customFormat="1">
      <c r="A406" s="6">
        <v>405</v>
      </c>
      <c r="B406" s="6" t="s">
        <v>1957</v>
      </c>
      <c r="C406" s="6" t="s">
        <v>1759</v>
      </c>
      <c r="D406" s="6" t="s">
        <v>1760</v>
      </c>
      <c r="E406" s="6">
        <v>2</v>
      </c>
      <c r="F406" s="6" t="str">
        <f t="shared" si="40"/>
        <v>Sub-category</v>
      </c>
      <c r="G406" s="6">
        <v>0</v>
      </c>
      <c r="H406" s="6" t="s">
        <v>1958</v>
      </c>
      <c r="I406" s="6" t="s">
        <v>31</v>
      </c>
      <c r="J406" s="6" t="s">
        <v>31</v>
      </c>
      <c r="K406" s="6" t="str">
        <f>$H$369</f>
        <v>HUMAN DEVELOPMENT</v>
      </c>
      <c r="L406" s="6" t="s">
        <v>33</v>
      </c>
      <c r="M406" s="6" t="s">
        <v>31</v>
      </c>
      <c r="N406" s="6" t="s">
        <v>31</v>
      </c>
      <c r="O406" s="6" t="s">
        <v>31</v>
      </c>
      <c r="P406" s="6" t="s">
        <v>31</v>
      </c>
      <c r="Q406" s="24" t="s">
        <v>1959</v>
      </c>
      <c r="R406" s="6" t="s">
        <v>31</v>
      </c>
      <c r="S406" s="6" t="s">
        <v>31</v>
      </c>
      <c r="T406" s="6" t="s">
        <v>31</v>
      </c>
      <c r="U406" s="6" t="s">
        <v>31</v>
      </c>
      <c r="V406" s="6" t="s">
        <v>31</v>
      </c>
      <c r="W406" s="6" t="s">
        <v>31</v>
      </c>
      <c r="X406" s="6" t="s">
        <v>31</v>
      </c>
      <c r="Y406" s="6" t="s">
        <v>31</v>
      </c>
      <c r="Z406" s="6" t="s">
        <v>31</v>
      </c>
    </row>
    <row r="407" spans="1:28">
      <c r="A407" s="8">
        <v>406</v>
      </c>
      <c r="B407" s="8" t="s">
        <v>1960</v>
      </c>
      <c r="C407" s="8" t="s">
        <v>1957</v>
      </c>
      <c r="D407" s="8" t="s">
        <v>1958</v>
      </c>
      <c r="E407" s="12">
        <v>3</v>
      </c>
      <c r="F407" s="12" t="str">
        <f t="shared" si="40"/>
        <v>Indicator</v>
      </c>
      <c r="G407" s="8">
        <v>0</v>
      </c>
      <c r="H407" s="12" t="s">
        <v>1961</v>
      </c>
      <c r="I407" s="8" t="s">
        <v>1962</v>
      </c>
      <c r="J407" s="8" t="s">
        <v>1958</v>
      </c>
      <c r="K407" s="8" t="s">
        <v>1760</v>
      </c>
      <c r="L407" s="8" t="s">
        <v>33</v>
      </c>
      <c r="M407" s="8" t="s">
        <v>31</v>
      </c>
      <c r="N407" s="8" t="s">
        <v>31</v>
      </c>
      <c r="O407" s="8" t="s">
        <v>31</v>
      </c>
      <c r="P407" s="8" t="s">
        <v>31</v>
      </c>
      <c r="Q407" s="9" t="s">
        <v>1963</v>
      </c>
      <c r="R407" s="8" t="s">
        <v>31</v>
      </c>
      <c r="S407" s="10" t="s">
        <v>31</v>
      </c>
      <c r="T407" s="8" t="s">
        <v>31</v>
      </c>
      <c r="U407" s="8" t="s">
        <v>31</v>
      </c>
      <c r="V407" s="8" t="s">
        <v>31</v>
      </c>
      <c r="W407" s="8" t="s">
        <v>31</v>
      </c>
      <c r="X407" s="8" t="s">
        <v>31</v>
      </c>
      <c r="Y407" s="8" t="s">
        <v>31</v>
      </c>
      <c r="Z407" s="8" t="s">
        <v>31</v>
      </c>
    </row>
    <row r="408" spans="1:28">
      <c r="A408" s="8">
        <v>407</v>
      </c>
      <c r="B408" s="8" t="s">
        <v>1964</v>
      </c>
      <c r="C408" s="8" t="s">
        <v>1960</v>
      </c>
      <c r="D408" s="8" t="s">
        <v>1961</v>
      </c>
      <c r="E408" s="8">
        <v>4</v>
      </c>
      <c r="F408" s="8" t="str">
        <f t="shared" si="40"/>
        <v>Sub-indicator</v>
      </c>
      <c r="G408" s="8">
        <v>0</v>
      </c>
      <c r="H408" s="8" t="s">
        <v>1965</v>
      </c>
      <c r="I408" s="8" t="s">
        <v>1966</v>
      </c>
      <c r="J408" s="8" t="s">
        <v>1958</v>
      </c>
      <c r="K408" s="8" t="s">
        <v>1760</v>
      </c>
      <c r="L408" s="8" t="s">
        <v>33</v>
      </c>
      <c r="M408" s="8" t="s">
        <v>31</v>
      </c>
      <c r="N408" s="8" t="s">
        <v>31</v>
      </c>
      <c r="O408" s="8" t="s">
        <v>31</v>
      </c>
      <c r="P408" s="8" t="s">
        <v>31</v>
      </c>
      <c r="Q408" s="9" t="s">
        <v>1967</v>
      </c>
      <c r="R408" s="8" t="s">
        <v>31</v>
      </c>
      <c r="S408" s="10" t="s">
        <v>31</v>
      </c>
      <c r="T408" s="8" t="s">
        <v>31</v>
      </c>
      <c r="U408" s="8" t="s">
        <v>31</v>
      </c>
      <c r="V408" s="8" t="s">
        <v>31</v>
      </c>
      <c r="W408" s="8" t="s">
        <v>31</v>
      </c>
      <c r="X408" s="8" t="s">
        <v>31</v>
      </c>
      <c r="Y408" s="8" t="s">
        <v>31</v>
      </c>
      <c r="Z408" s="8" t="s">
        <v>31</v>
      </c>
    </row>
    <row r="409" spans="1:28">
      <c r="A409" s="8">
        <v>408</v>
      </c>
      <c r="B409" s="8" t="s">
        <v>1968</v>
      </c>
      <c r="C409" s="8" t="s">
        <v>1964</v>
      </c>
      <c r="D409" s="8" t="s">
        <v>1965</v>
      </c>
      <c r="E409" s="8">
        <v>5</v>
      </c>
      <c r="F409" s="8" t="str">
        <f t="shared" si="40"/>
        <v>Sub-sub-indicator</v>
      </c>
      <c r="G409" s="8">
        <v>1</v>
      </c>
      <c r="H409" s="8" t="s">
        <v>1969</v>
      </c>
      <c r="I409" s="8" t="s">
        <v>1966</v>
      </c>
      <c r="J409" s="8" t="s">
        <v>1958</v>
      </c>
      <c r="K409" s="8" t="s">
        <v>1760</v>
      </c>
      <c r="L409" s="8" t="s">
        <v>1970</v>
      </c>
      <c r="M409" s="8" t="s">
        <v>1971</v>
      </c>
      <c r="N409" s="8" t="s">
        <v>31</v>
      </c>
      <c r="O409" s="8" t="s">
        <v>31</v>
      </c>
      <c r="P409" s="8" t="s">
        <v>31</v>
      </c>
      <c r="Q409" s="9" t="s">
        <v>1972</v>
      </c>
      <c r="R409" s="8" t="s">
        <v>53</v>
      </c>
      <c r="S409" s="10">
        <v>45456</v>
      </c>
      <c r="T409" s="8" t="s">
        <v>1973</v>
      </c>
      <c r="U409" s="8" t="s">
        <v>154</v>
      </c>
      <c r="V409" s="8" t="s">
        <v>155</v>
      </c>
      <c r="W409" s="8" t="s">
        <v>1974</v>
      </c>
      <c r="X409" s="8" t="s">
        <v>1975</v>
      </c>
      <c r="Y409" s="8" t="s">
        <v>1976</v>
      </c>
      <c r="Z409" s="8" t="s">
        <v>31</v>
      </c>
      <c r="AA409" s="8" t="s">
        <v>1977</v>
      </c>
    </row>
    <row r="410" spans="1:28">
      <c r="A410" s="8">
        <v>409</v>
      </c>
      <c r="B410" s="8" t="s">
        <v>1978</v>
      </c>
      <c r="C410" s="8" t="s">
        <v>1964</v>
      </c>
      <c r="D410" s="8" t="s">
        <v>1965</v>
      </c>
      <c r="E410" s="8">
        <v>5</v>
      </c>
      <c r="F410" s="8" t="str">
        <f t="shared" si="40"/>
        <v>Sub-sub-indicator</v>
      </c>
      <c r="G410" s="8">
        <v>1</v>
      </c>
      <c r="H410" s="8" t="s">
        <v>1979</v>
      </c>
      <c r="I410" s="8" t="s">
        <v>1966</v>
      </c>
      <c r="J410" s="8" t="s">
        <v>1958</v>
      </c>
      <c r="K410" s="8" t="s">
        <v>1760</v>
      </c>
      <c r="L410" s="8" t="s">
        <v>1970</v>
      </c>
      <c r="M410" s="8" t="s">
        <v>1971</v>
      </c>
      <c r="N410" s="8" t="s">
        <v>31</v>
      </c>
      <c r="O410" s="8" t="s">
        <v>31</v>
      </c>
      <c r="P410" s="8" t="s">
        <v>31</v>
      </c>
      <c r="Q410" s="9" t="s">
        <v>1980</v>
      </c>
      <c r="R410" s="8" t="s">
        <v>53</v>
      </c>
      <c r="S410" s="10">
        <v>45456</v>
      </c>
      <c r="T410" s="8" t="s">
        <v>1981</v>
      </c>
      <c r="U410" s="8" t="s">
        <v>154</v>
      </c>
      <c r="V410" s="8" t="s">
        <v>155</v>
      </c>
      <c r="W410" s="8" t="s">
        <v>1974</v>
      </c>
      <c r="X410" s="8" t="s">
        <v>1982</v>
      </c>
      <c r="Y410" s="8" t="s">
        <v>1983</v>
      </c>
      <c r="Z410" s="8" t="s">
        <v>31</v>
      </c>
      <c r="AA410" s="8" t="s">
        <v>1977</v>
      </c>
      <c r="AB410" s="8" t="s">
        <v>1984</v>
      </c>
    </row>
    <row r="411" spans="1:28" ht="14">
      <c r="A411" s="8">
        <v>410</v>
      </c>
      <c r="B411" s="8" t="s">
        <v>1985</v>
      </c>
      <c r="C411" s="8" t="s">
        <v>1960</v>
      </c>
      <c r="D411" s="8" t="s">
        <v>1961</v>
      </c>
      <c r="E411" s="8">
        <v>4</v>
      </c>
      <c r="F411" s="8" t="str">
        <f t="shared" si="40"/>
        <v>Sub-indicator</v>
      </c>
      <c r="G411" s="8">
        <v>1</v>
      </c>
      <c r="H411" s="8" t="s">
        <v>1986</v>
      </c>
      <c r="I411" s="8" t="s">
        <v>149</v>
      </c>
      <c r="J411" s="8" t="s">
        <v>1958</v>
      </c>
      <c r="K411" s="8" t="s">
        <v>1760</v>
      </c>
      <c r="L411" s="8" t="s">
        <v>150</v>
      </c>
      <c r="M411" s="8" t="s">
        <v>151</v>
      </c>
      <c r="N411" s="8" t="s">
        <v>31</v>
      </c>
      <c r="O411" s="8" t="s">
        <v>31</v>
      </c>
      <c r="P411" s="8" t="s">
        <v>31</v>
      </c>
      <c r="Q411" s="9" t="s">
        <v>1987</v>
      </c>
      <c r="R411" s="8" t="s">
        <v>53</v>
      </c>
      <c r="S411" s="10">
        <v>45432</v>
      </c>
      <c r="T411" s="8" t="s">
        <v>1988</v>
      </c>
      <c r="U411" s="8" t="s">
        <v>229</v>
      </c>
      <c r="V411" s="8" t="s">
        <v>155</v>
      </c>
      <c r="W411" s="8" t="s">
        <v>156</v>
      </c>
      <c r="X411" s="8" t="s">
        <v>58</v>
      </c>
      <c r="Y411" s="8" t="s">
        <v>58</v>
      </c>
      <c r="Z411" s="8" t="s">
        <v>31</v>
      </c>
      <c r="AB411" s="8" t="s">
        <v>157</v>
      </c>
    </row>
    <row r="412" spans="1:28">
      <c r="A412" s="8">
        <v>411</v>
      </c>
      <c r="B412" s="8" t="s">
        <v>1989</v>
      </c>
      <c r="C412" s="8" t="s">
        <v>1957</v>
      </c>
      <c r="D412" s="8" t="s">
        <v>1958</v>
      </c>
      <c r="E412" s="12">
        <v>3</v>
      </c>
      <c r="F412" s="12" t="str">
        <f t="shared" si="40"/>
        <v>Indicator</v>
      </c>
      <c r="G412" s="8">
        <v>0</v>
      </c>
      <c r="H412" s="12" t="s">
        <v>1990</v>
      </c>
      <c r="I412" s="8" t="s">
        <v>1966</v>
      </c>
      <c r="J412" s="8" t="str">
        <f t="shared" ref="J412:J417" si="43">$H$406</f>
        <v>EDUCATION</v>
      </c>
      <c r="K412" s="8" t="str">
        <f t="shared" ref="K412:K417" si="44">$H$369</f>
        <v>HUMAN DEVELOPMENT</v>
      </c>
      <c r="L412" s="8" t="s">
        <v>33</v>
      </c>
      <c r="M412" s="8" t="s">
        <v>31</v>
      </c>
      <c r="N412" s="8" t="s">
        <v>31</v>
      </c>
      <c r="O412" s="8" t="s">
        <v>31</v>
      </c>
      <c r="P412" s="8" t="s">
        <v>31</v>
      </c>
      <c r="Q412" s="9" t="s">
        <v>1991</v>
      </c>
      <c r="R412" s="8" t="s">
        <v>31</v>
      </c>
      <c r="S412" s="10" t="s">
        <v>31</v>
      </c>
      <c r="T412" s="8" t="s">
        <v>31</v>
      </c>
      <c r="U412" s="8" t="s">
        <v>31</v>
      </c>
      <c r="V412" s="8" t="s">
        <v>31</v>
      </c>
      <c r="W412" s="8" t="s">
        <v>31</v>
      </c>
      <c r="X412" s="8" t="s">
        <v>31</v>
      </c>
      <c r="Y412" s="8" t="s">
        <v>31</v>
      </c>
      <c r="Z412" s="8" t="s">
        <v>31</v>
      </c>
    </row>
    <row r="413" spans="1:28">
      <c r="A413" s="8">
        <v>412</v>
      </c>
      <c r="B413" s="8" t="s">
        <v>1992</v>
      </c>
      <c r="C413" s="8" t="s">
        <v>1989</v>
      </c>
      <c r="D413" s="8" t="s">
        <v>1990</v>
      </c>
      <c r="E413" s="8">
        <v>4</v>
      </c>
      <c r="F413" s="8" t="str">
        <f t="shared" si="40"/>
        <v>Sub-indicator</v>
      </c>
      <c r="G413" s="8">
        <v>1</v>
      </c>
      <c r="H413" s="8" t="s">
        <v>1993</v>
      </c>
      <c r="I413" s="8" t="s">
        <v>1966</v>
      </c>
      <c r="J413" s="8" t="str">
        <f t="shared" si="43"/>
        <v>EDUCATION</v>
      </c>
      <c r="K413" s="8" t="str">
        <f t="shared" si="44"/>
        <v>HUMAN DEVELOPMENT</v>
      </c>
      <c r="L413" s="8" t="s">
        <v>1970</v>
      </c>
      <c r="M413" s="8" t="s">
        <v>1971</v>
      </c>
      <c r="N413" s="8" t="s">
        <v>31</v>
      </c>
      <c r="O413" s="8" t="s">
        <v>31</v>
      </c>
      <c r="P413" s="8" t="s">
        <v>31</v>
      </c>
      <c r="Q413" s="9" t="s">
        <v>1994</v>
      </c>
      <c r="R413" s="8" t="s">
        <v>53</v>
      </c>
      <c r="S413" s="10">
        <v>45456</v>
      </c>
      <c r="T413" s="8" t="s">
        <v>1995</v>
      </c>
      <c r="U413" s="8" t="s">
        <v>196</v>
      </c>
      <c r="V413" s="8" t="s">
        <v>155</v>
      </c>
      <c r="W413" s="8" t="s">
        <v>1996</v>
      </c>
      <c r="X413" s="8" t="s">
        <v>1997</v>
      </c>
      <c r="Y413" s="8" t="s">
        <v>1998</v>
      </c>
      <c r="Z413" s="8" t="s">
        <v>31</v>
      </c>
      <c r="AA413" s="8" t="s">
        <v>1999</v>
      </c>
      <c r="AB413" s="8" t="s">
        <v>2000</v>
      </c>
    </row>
    <row r="414" spans="1:28">
      <c r="A414" s="8">
        <v>413</v>
      </c>
      <c r="B414" s="8" t="s">
        <v>2001</v>
      </c>
      <c r="C414" s="8" t="s">
        <v>1989</v>
      </c>
      <c r="D414" s="8" t="s">
        <v>1990</v>
      </c>
      <c r="E414" s="8">
        <v>4</v>
      </c>
      <c r="F414" s="8" t="str">
        <f t="shared" si="40"/>
        <v>Sub-indicator</v>
      </c>
      <c r="G414" s="8">
        <v>1</v>
      </c>
      <c r="H414" s="8" t="s">
        <v>2002</v>
      </c>
      <c r="I414" s="8" t="s">
        <v>1966</v>
      </c>
      <c r="J414" s="8" t="str">
        <f t="shared" si="43"/>
        <v>EDUCATION</v>
      </c>
      <c r="K414" s="8" t="str">
        <f t="shared" si="44"/>
        <v>HUMAN DEVELOPMENT</v>
      </c>
      <c r="L414" s="8" t="s">
        <v>1970</v>
      </c>
      <c r="M414" s="8" t="s">
        <v>1971</v>
      </c>
      <c r="N414" s="8" t="s">
        <v>31</v>
      </c>
      <c r="O414" s="8" t="s">
        <v>31</v>
      </c>
      <c r="P414" s="8" t="s">
        <v>31</v>
      </c>
      <c r="Q414" s="9" t="s">
        <v>2003</v>
      </c>
      <c r="R414" s="8" t="s">
        <v>53</v>
      </c>
      <c r="S414" s="10">
        <v>45456</v>
      </c>
      <c r="T414" s="8" t="s">
        <v>2004</v>
      </c>
      <c r="U414" s="8" t="s">
        <v>196</v>
      </c>
      <c r="V414" s="8" t="s">
        <v>155</v>
      </c>
      <c r="W414" s="8" t="s">
        <v>2005</v>
      </c>
      <c r="X414" s="8" t="s">
        <v>1975</v>
      </c>
      <c r="Y414" s="8" t="s">
        <v>2006</v>
      </c>
      <c r="Z414" s="8" t="s">
        <v>31</v>
      </c>
      <c r="AA414" s="8" t="s">
        <v>1999</v>
      </c>
      <c r="AB414" s="8" t="s">
        <v>2007</v>
      </c>
    </row>
    <row r="415" spans="1:28">
      <c r="A415" s="8">
        <v>414</v>
      </c>
      <c r="B415" s="8" t="s">
        <v>2008</v>
      </c>
      <c r="C415" s="8" t="s">
        <v>1989</v>
      </c>
      <c r="D415" s="8" t="s">
        <v>1990</v>
      </c>
      <c r="E415" s="8">
        <v>4</v>
      </c>
      <c r="F415" s="8" t="str">
        <f t="shared" si="40"/>
        <v>Sub-indicator</v>
      </c>
      <c r="G415" s="8">
        <v>1</v>
      </c>
      <c r="H415" s="8" t="s">
        <v>2009</v>
      </c>
      <c r="I415" s="8" t="s">
        <v>1966</v>
      </c>
      <c r="J415" s="8" t="str">
        <f t="shared" si="43"/>
        <v>EDUCATION</v>
      </c>
      <c r="K415" s="8" t="str">
        <f t="shared" si="44"/>
        <v>HUMAN DEVELOPMENT</v>
      </c>
      <c r="L415" s="8" t="s">
        <v>1970</v>
      </c>
      <c r="M415" s="8" t="s">
        <v>1971</v>
      </c>
      <c r="N415" s="8" t="s">
        <v>31</v>
      </c>
      <c r="O415" s="8" t="s">
        <v>31</v>
      </c>
      <c r="P415" s="8" t="s">
        <v>31</v>
      </c>
      <c r="Q415" s="9" t="s">
        <v>2010</v>
      </c>
      <c r="R415" s="8" t="s">
        <v>53</v>
      </c>
      <c r="S415" s="10">
        <v>45456</v>
      </c>
      <c r="T415" s="8" t="s">
        <v>2011</v>
      </c>
      <c r="U415" s="8" t="s">
        <v>196</v>
      </c>
      <c r="V415" s="8" t="s">
        <v>155</v>
      </c>
      <c r="W415" s="8" t="s">
        <v>2005</v>
      </c>
      <c r="X415" s="8" t="s">
        <v>2012</v>
      </c>
      <c r="Y415" s="8" t="s">
        <v>2013</v>
      </c>
      <c r="Z415" s="8" t="s">
        <v>31</v>
      </c>
      <c r="AA415" s="8" t="s">
        <v>1999</v>
      </c>
      <c r="AB415" s="8" t="s">
        <v>2014</v>
      </c>
    </row>
    <row r="416" spans="1:28">
      <c r="A416" s="8">
        <v>415</v>
      </c>
      <c r="B416" s="8" t="s">
        <v>2015</v>
      </c>
      <c r="C416" s="8" t="s">
        <v>1989</v>
      </c>
      <c r="D416" s="8" t="s">
        <v>1990</v>
      </c>
      <c r="E416" s="8">
        <v>4</v>
      </c>
      <c r="F416" s="8" t="str">
        <f t="shared" si="40"/>
        <v>Sub-indicator</v>
      </c>
      <c r="G416" s="8">
        <v>1</v>
      </c>
      <c r="H416" s="8" t="s">
        <v>2016</v>
      </c>
      <c r="I416" s="8" t="s">
        <v>1966</v>
      </c>
      <c r="J416" s="8" t="str">
        <f t="shared" si="43"/>
        <v>EDUCATION</v>
      </c>
      <c r="K416" s="8" t="str">
        <f t="shared" si="44"/>
        <v>HUMAN DEVELOPMENT</v>
      </c>
      <c r="L416" s="8" t="s">
        <v>1970</v>
      </c>
      <c r="M416" s="8" t="s">
        <v>1971</v>
      </c>
      <c r="N416" s="8" t="s">
        <v>31</v>
      </c>
      <c r="O416" s="8" t="s">
        <v>31</v>
      </c>
      <c r="P416" s="8" t="s">
        <v>31</v>
      </c>
      <c r="Q416" s="9" t="s">
        <v>2017</v>
      </c>
      <c r="R416" s="8" t="s">
        <v>97</v>
      </c>
      <c r="S416" s="10">
        <v>45456</v>
      </c>
      <c r="T416" s="8" t="s">
        <v>2018</v>
      </c>
      <c r="U416" s="8" t="s">
        <v>196</v>
      </c>
      <c r="V416" s="8" t="s">
        <v>155</v>
      </c>
      <c r="W416" s="8" t="s">
        <v>2019</v>
      </c>
      <c r="X416" s="8" t="s">
        <v>2020</v>
      </c>
      <c r="Y416" s="8" t="s">
        <v>2021</v>
      </c>
      <c r="Z416" s="8" t="s">
        <v>31</v>
      </c>
      <c r="AA416" s="8" t="s">
        <v>1999</v>
      </c>
      <c r="AB416" s="8" t="s">
        <v>2022</v>
      </c>
    </row>
    <row r="417" spans="1:28">
      <c r="A417" s="8">
        <v>416</v>
      </c>
      <c r="B417" s="8" t="s">
        <v>2023</v>
      </c>
      <c r="C417" s="8" t="s">
        <v>1957</v>
      </c>
      <c r="D417" s="8" t="s">
        <v>1958</v>
      </c>
      <c r="E417" s="12">
        <v>3</v>
      </c>
      <c r="F417" s="12" t="str">
        <f t="shared" si="40"/>
        <v>Indicator</v>
      </c>
      <c r="G417" s="8">
        <v>0</v>
      </c>
      <c r="H417" s="12" t="s">
        <v>2024</v>
      </c>
      <c r="I417" s="8" t="s">
        <v>1966</v>
      </c>
      <c r="J417" s="8" t="str">
        <f t="shared" si="43"/>
        <v>EDUCATION</v>
      </c>
      <c r="K417" s="8" t="str">
        <f t="shared" si="44"/>
        <v>HUMAN DEVELOPMENT</v>
      </c>
      <c r="L417" s="8" t="s">
        <v>33</v>
      </c>
      <c r="M417" s="8" t="s">
        <v>31</v>
      </c>
      <c r="N417" s="8" t="s">
        <v>31</v>
      </c>
      <c r="O417" s="8" t="s">
        <v>31</v>
      </c>
      <c r="P417" s="8" t="s">
        <v>31</v>
      </c>
      <c r="Q417" s="9" t="s">
        <v>2025</v>
      </c>
      <c r="R417" s="8" t="s">
        <v>31</v>
      </c>
      <c r="S417" s="10" t="s">
        <v>31</v>
      </c>
      <c r="T417" s="8" t="s">
        <v>31</v>
      </c>
      <c r="U417" s="8" t="s">
        <v>31</v>
      </c>
      <c r="V417" s="8" t="s">
        <v>31</v>
      </c>
      <c r="W417" s="8" t="s">
        <v>31</v>
      </c>
      <c r="X417" s="8" t="s">
        <v>31</v>
      </c>
      <c r="Y417" s="8" t="s">
        <v>31</v>
      </c>
      <c r="Z417" s="8" t="s">
        <v>31</v>
      </c>
    </row>
    <row r="418" spans="1:28">
      <c r="A418" s="8">
        <v>417</v>
      </c>
      <c r="B418" s="8" t="s">
        <v>2026</v>
      </c>
      <c r="C418" s="8" t="s">
        <v>2023</v>
      </c>
      <c r="D418" s="8" t="s">
        <v>2024</v>
      </c>
      <c r="E418" s="8">
        <v>4</v>
      </c>
      <c r="F418" s="8" t="s">
        <v>136</v>
      </c>
      <c r="G418" s="8">
        <v>1</v>
      </c>
      <c r="H418" s="8" t="s">
        <v>2027</v>
      </c>
      <c r="I418" s="8" t="s">
        <v>1966</v>
      </c>
      <c r="J418" s="8" t="s">
        <v>1958</v>
      </c>
      <c r="K418" s="8" t="s">
        <v>1760</v>
      </c>
      <c r="L418" s="8" t="s">
        <v>1970</v>
      </c>
      <c r="M418" s="8" t="s">
        <v>1971</v>
      </c>
      <c r="N418" s="8" t="s">
        <v>31</v>
      </c>
      <c r="O418" s="8" t="s">
        <v>31</v>
      </c>
      <c r="P418" s="8" t="s">
        <v>31</v>
      </c>
      <c r="Q418" s="9" t="s">
        <v>2028</v>
      </c>
      <c r="R418" s="8" t="s">
        <v>53</v>
      </c>
      <c r="S418" s="10">
        <v>45456</v>
      </c>
      <c r="T418" s="8" t="s">
        <v>2029</v>
      </c>
      <c r="U418" s="8" t="s">
        <v>196</v>
      </c>
      <c r="V418" s="8" t="s">
        <v>155</v>
      </c>
      <c r="W418" s="8" t="s">
        <v>2030</v>
      </c>
      <c r="X418" s="8" t="s">
        <v>2031</v>
      </c>
      <c r="Y418" s="8" t="s">
        <v>2032</v>
      </c>
      <c r="Z418" s="8" t="s">
        <v>31</v>
      </c>
      <c r="AA418" s="8" t="s">
        <v>2033</v>
      </c>
      <c r="AB418" s="8" t="s">
        <v>2034</v>
      </c>
    </row>
    <row r="419" spans="1:28">
      <c r="A419" s="8">
        <v>418</v>
      </c>
      <c r="B419" s="8" t="s">
        <v>2035</v>
      </c>
      <c r="C419" s="8" t="s">
        <v>2023</v>
      </c>
      <c r="D419" s="8" t="s">
        <v>2024</v>
      </c>
      <c r="E419" s="8">
        <v>4</v>
      </c>
      <c r="F419" s="8" t="s">
        <v>136</v>
      </c>
      <c r="G419" s="8">
        <v>0</v>
      </c>
      <c r="H419" s="8" t="s">
        <v>2036</v>
      </c>
      <c r="I419" s="8" t="s">
        <v>1966</v>
      </c>
      <c r="J419" s="8" t="s">
        <v>1958</v>
      </c>
      <c r="K419" s="8" t="s">
        <v>1760</v>
      </c>
      <c r="L419" s="8" t="s">
        <v>33</v>
      </c>
      <c r="M419" s="8" t="s">
        <v>31</v>
      </c>
      <c r="N419" s="8" t="s">
        <v>31</v>
      </c>
      <c r="O419" s="8" t="s">
        <v>31</v>
      </c>
      <c r="P419" s="8" t="s">
        <v>31</v>
      </c>
      <c r="Q419" s="9" t="s">
        <v>2037</v>
      </c>
      <c r="R419" s="8" t="s">
        <v>31</v>
      </c>
      <c r="S419" s="10" t="s">
        <v>31</v>
      </c>
      <c r="T419" s="8" t="s">
        <v>31</v>
      </c>
      <c r="U419" s="8" t="s">
        <v>31</v>
      </c>
      <c r="V419" s="8" t="s">
        <v>31</v>
      </c>
      <c r="W419" s="8" t="s">
        <v>31</v>
      </c>
      <c r="X419" s="8" t="s">
        <v>31</v>
      </c>
      <c r="Y419" s="8" t="s">
        <v>31</v>
      </c>
      <c r="Z419" s="8" t="s">
        <v>31</v>
      </c>
    </row>
    <row r="420" spans="1:28">
      <c r="A420" s="8">
        <v>419</v>
      </c>
      <c r="B420" s="8" t="s">
        <v>2038</v>
      </c>
      <c r="C420" s="8" t="s">
        <v>2035</v>
      </c>
      <c r="D420" s="8" t="s">
        <v>2036</v>
      </c>
      <c r="E420" s="8">
        <v>5</v>
      </c>
      <c r="F420" s="8" t="s">
        <v>92</v>
      </c>
      <c r="G420" s="8">
        <v>1</v>
      </c>
      <c r="H420" s="8" t="s">
        <v>2039</v>
      </c>
      <c r="I420" s="8" t="s">
        <v>1966</v>
      </c>
      <c r="J420" s="8" t="s">
        <v>1958</v>
      </c>
      <c r="K420" s="8" t="s">
        <v>1760</v>
      </c>
      <c r="L420" s="8" t="s">
        <v>1970</v>
      </c>
      <c r="M420" s="8" t="s">
        <v>1971</v>
      </c>
      <c r="N420" s="8" t="s">
        <v>31</v>
      </c>
      <c r="O420" s="8" t="s">
        <v>31</v>
      </c>
      <c r="P420" s="8" t="s">
        <v>31</v>
      </c>
      <c r="Q420" s="9" t="s">
        <v>2040</v>
      </c>
      <c r="R420" s="8" t="s">
        <v>53</v>
      </c>
      <c r="S420" s="10">
        <v>45456</v>
      </c>
      <c r="T420" s="8" t="s">
        <v>2041</v>
      </c>
      <c r="U420" s="8" t="s">
        <v>196</v>
      </c>
      <c r="V420" s="8" t="s">
        <v>155</v>
      </c>
      <c r="W420" s="8" t="s">
        <v>2030</v>
      </c>
      <c r="X420" s="8" t="s">
        <v>2042</v>
      </c>
      <c r="Y420" s="8" t="s">
        <v>2043</v>
      </c>
      <c r="Z420" s="8" t="s">
        <v>31</v>
      </c>
      <c r="AA420" s="8" t="s">
        <v>2044</v>
      </c>
      <c r="AB420" s="8" t="s">
        <v>2045</v>
      </c>
    </row>
    <row r="421" spans="1:28">
      <c r="A421" s="8">
        <v>420</v>
      </c>
      <c r="B421" s="8" t="s">
        <v>2046</v>
      </c>
      <c r="C421" s="8" t="s">
        <v>2035</v>
      </c>
      <c r="D421" s="8" t="s">
        <v>2036</v>
      </c>
      <c r="E421" s="8">
        <v>5</v>
      </c>
      <c r="F421" s="8" t="s">
        <v>92</v>
      </c>
      <c r="G421" s="8">
        <v>1</v>
      </c>
      <c r="H421" s="8" t="s">
        <v>2047</v>
      </c>
      <c r="I421" s="8" t="s">
        <v>1966</v>
      </c>
      <c r="J421" s="8" t="s">
        <v>1958</v>
      </c>
      <c r="K421" s="8" t="s">
        <v>1760</v>
      </c>
      <c r="L421" s="8" t="s">
        <v>1970</v>
      </c>
      <c r="M421" s="8" t="s">
        <v>1971</v>
      </c>
      <c r="N421" s="8" t="s">
        <v>31</v>
      </c>
      <c r="O421" s="8" t="s">
        <v>31</v>
      </c>
      <c r="P421" s="8" t="s">
        <v>31</v>
      </c>
      <c r="Q421" s="9" t="s">
        <v>2048</v>
      </c>
      <c r="R421" s="8" t="s">
        <v>53</v>
      </c>
      <c r="S421" s="10">
        <v>45456</v>
      </c>
      <c r="T421" s="8" t="s">
        <v>2049</v>
      </c>
      <c r="U421" s="8" t="s">
        <v>196</v>
      </c>
      <c r="V421" s="8" t="s">
        <v>155</v>
      </c>
      <c r="W421" s="8" t="s">
        <v>2030</v>
      </c>
      <c r="X421" s="8" t="s">
        <v>2050</v>
      </c>
      <c r="Y421" s="8" t="s">
        <v>2051</v>
      </c>
      <c r="Z421" s="8" t="s">
        <v>31</v>
      </c>
      <c r="AA421" s="8" t="s">
        <v>2052</v>
      </c>
      <c r="AB421" s="8" t="s">
        <v>2053</v>
      </c>
    </row>
    <row r="422" spans="1:28">
      <c r="A422" s="8">
        <v>421</v>
      </c>
      <c r="B422" s="8" t="s">
        <v>2054</v>
      </c>
      <c r="C422" s="8" t="s">
        <v>1957</v>
      </c>
      <c r="D422" s="8" t="s">
        <v>1958</v>
      </c>
      <c r="E422" s="12">
        <v>3</v>
      </c>
      <c r="F422" s="12" t="str">
        <f>IF(E422=0,"Overall",IF(E422=1,"Category",IF(E422=2,"Sub-category",IF(E422=3,"Indicator",IF(E422=4,"Sub-indicator", "Sub-sub-indicator")))))</f>
        <v>Indicator</v>
      </c>
      <c r="G422" s="8">
        <v>0</v>
      </c>
      <c r="H422" s="12" t="s">
        <v>2055</v>
      </c>
      <c r="I422" s="8" t="s">
        <v>1966</v>
      </c>
      <c r="J422" s="8" t="str">
        <f>$H$406</f>
        <v>EDUCATION</v>
      </c>
      <c r="K422" s="8" t="str">
        <f>$H$369</f>
        <v>HUMAN DEVELOPMENT</v>
      </c>
      <c r="L422" s="8" t="s">
        <v>33</v>
      </c>
      <c r="M422" s="8" t="s">
        <v>31</v>
      </c>
      <c r="N422" s="8" t="s">
        <v>31</v>
      </c>
      <c r="O422" s="8" t="s">
        <v>31</v>
      </c>
      <c r="P422" s="8" t="s">
        <v>31</v>
      </c>
      <c r="Q422" s="9" t="s">
        <v>2056</v>
      </c>
      <c r="R422" s="8" t="s">
        <v>31</v>
      </c>
      <c r="S422" s="10" t="s">
        <v>31</v>
      </c>
      <c r="T422" s="8" t="s">
        <v>31</v>
      </c>
      <c r="U422" s="8" t="s">
        <v>31</v>
      </c>
      <c r="V422" s="8" t="s">
        <v>31</v>
      </c>
      <c r="W422" s="8" t="s">
        <v>31</v>
      </c>
      <c r="X422" s="8" t="s">
        <v>31</v>
      </c>
      <c r="Y422" s="8" t="s">
        <v>31</v>
      </c>
      <c r="Z422" s="8" t="s">
        <v>31</v>
      </c>
    </row>
    <row r="423" spans="1:28">
      <c r="A423" s="8">
        <v>422</v>
      </c>
      <c r="B423" s="8" t="s">
        <v>2057</v>
      </c>
      <c r="C423" s="8" t="s">
        <v>2054</v>
      </c>
      <c r="D423" s="8" t="s">
        <v>2055</v>
      </c>
      <c r="E423" s="8">
        <v>4</v>
      </c>
      <c r="F423" s="8" t="s">
        <v>136</v>
      </c>
      <c r="G423" s="8">
        <v>1</v>
      </c>
      <c r="H423" s="8" t="s">
        <v>2058</v>
      </c>
      <c r="I423" s="8" t="s">
        <v>1966</v>
      </c>
      <c r="J423" s="8" t="s">
        <v>1958</v>
      </c>
      <c r="K423" s="8" t="s">
        <v>1760</v>
      </c>
      <c r="L423" s="8" t="s">
        <v>1970</v>
      </c>
      <c r="M423" s="8" t="s">
        <v>1971</v>
      </c>
      <c r="N423" s="8" t="s">
        <v>31</v>
      </c>
      <c r="O423" s="8" t="s">
        <v>31</v>
      </c>
      <c r="P423" s="8" t="s">
        <v>31</v>
      </c>
      <c r="Q423" s="9" t="s">
        <v>2059</v>
      </c>
      <c r="R423" s="8" t="s">
        <v>53</v>
      </c>
      <c r="S423" s="10">
        <v>45456</v>
      </c>
      <c r="T423" s="8" t="s">
        <v>2060</v>
      </c>
      <c r="U423" s="8" t="s">
        <v>55</v>
      </c>
      <c r="V423" s="8" t="s">
        <v>56</v>
      </c>
      <c r="W423" s="8" t="s">
        <v>2061</v>
      </c>
      <c r="X423" s="8" t="s">
        <v>2062</v>
      </c>
      <c r="Y423" s="8" t="s">
        <v>2063</v>
      </c>
      <c r="Z423" s="8" t="s">
        <v>31</v>
      </c>
      <c r="AB423" s="8" t="s">
        <v>2064</v>
      </c>
    </row>
    <row r="424" spans="1:28">
      <c r="A424" s="8">
        <v>423</v>
      </c>
      <c r="B424" s="8" t="s">
        <v>2065</v>
      </c>
      <c r="C424" s="8" t="s">
        <v>2054</v>
      </c>
      <c r="D424" s="8" t="s">
        <v>2055</v>
      </c>
      <c r="E424" s="8">
        <v>4</v>
      </c>
      <c r="F424" s="8" t="s">
        <v>136</v>
      </c>
      <c r="G424" s="8">
        <v>1</v>
      </c>
      <c r="H424" s="8" t="s">
        <v>2066</v>
      </c>
      <c r="I424" s="8" t="s">
        <v>1966</v>
      </c>
      <c r="J424" s="8" t="s">
        <v>1958</v>
      </c>
      <c r="K424" s="8" t="s">
        <v>1760</v>
      </c>
      <c r="L424" s="8" t="s">
        <v>1970</v>
      </c>
      <c r="M424" s="8" t="s">
        <v>1971</v>
      </c>
      <c r="N424" s="8" t="s">
        <v>31</v>
      </c>
      <c r="O424" s="8" t="s">
        <v>31</v>
      </c>
      <c r="P424" s="8" t="s">
        <v>31</v>
      </c>
      <c r="Q424" s="9" t="s">
        <v>2067</v>
      </c>
      <c r="R424" s="8" t="s">
        <v>53</v>
      </c>
      <c r="S424" s="10">
        <v>45456</v>
      </c>
      <c r="T424" s="8" t="s">
        <v>2068</v>
      </c>
      <c r="U424" s="8" t="s">
        <v>196</v>
      </c>
      <c r="V424" s="8" t="s">
        <v>155</v>
      </c>
      <c r="W424" s="8" t="s">
        <v>2069</v>
      </c>
      <c r="X424" s="8" t="s">
        <v>2070</v>
      </c>
      <c r="Y424" s="8" t="s">
        <v>2071</v>
      </c>
      <c r="Z424" s="8" t="s">
        <v>31</v>
      </c>
      <c r="AB424" s="8" t="s">
        <v>2072</v>
      </c>
    </row>
    <row r="425" spans="1:28">
      <c r="A425" s="8">
        <v>424</v>
      </c>
      <c r="B425" s="8" t="s">
        <v>2073</v>
      </c>
      <c r="C425" s="8" t="s">
        <v>1957</v>
      </c>
      <c r="D425" s="8" t="s">
        <v>1958</v>
      </c>
      <c r="E425" s="12">
        <v>3</v>
      </c>
      <c r="F425" s="12" t="str">
        <f>IF(E425=0,"Overall",IF(E425=1,"Category",IF(E425=2,"Sub-category",IF(E425=3,"Indicator",IF(E425=4,"Sub-indicator", "Sub-sub-indicator")))))</f>
        <v>Indicator</v>
      </c>
      <c r="G425" s="8">
        <v>0</v>
      </c>
      <c r="H425" s="12" t="s">
        <v>2074</v>
      </c>
      <c r="I425" s="8" t="s">
        <v>2075</v>
      </c>
      <c r="J425" s="8" t="str">
        <f>$H$406</f>
        <v>EDUCATION</v>
      </c>
      <c r="K425" s="8" t="str">
        <f>$H$369</f>
        <v>HUMAN DEVELOPMENT</v>
      </c>
      <c r="L425" s="8" t="s">
        <v>33</v>
      </c>
      <c r="M425" s="8" t="s">
        <v>31</v>
      </c>
      <c r="N425" s="8" t="s">
        <v>31</v>
      </c>
      <c r="O425" s="8" t="s">
        <v>31</v>
      </c>
      <c r="P425" s="8" t="s">
        <v>31</v>
      </c>
      <c r="Q425" s="9" t="s">
        <v>2076</v>
      </c>
      <c r="R425" s="8" t="s">
        <v>31</v>
      </c>
      <c r="S425" s="10" t="s">
        <v>31</v>
      </c>
      <c r="T425" s="8" t="s">
        <v>31</v>
      </c>
      <c r="U425" s="8" t="s">
        <v>31</v>
      </c>
      <c r="V425" s="8" t="s">
        <v>31</v>
      </c>
      <c r="W425" s="8" t="s">
        <v>31</v>
      </c>
      <c r="X425" s="8" t="s">
        <v>31</v>
      </c>
      <c r="Y425" s="8" t="s">
        <v>31</v>
      </c>
      <c r="Z425" s="8" t="s">
        <v>31</v>
      </c>
    </row>
    <row r="426" spans="1:28">
      <c r="A426" s="8">
        <v>425</v>
      </c>
      <c r="B426" s="8" t="s">
        <v>2077</v>
      </c>
      <c r="C426" s="8" t="s">
        <v>2073</v>
      </c>
      <c r="D426" s="8" t="s">
        <v>2074</v>
      </c>
      <c r="E426" s="8">
        <v>4</v>
      </c>
      <c r="F426" s="8" t="str">
        <f>IF(E426=0,"Overall",IF(E426=1,"Category",IF(E426=2,"Sub-category",IF(E426=3,"Indicator",IF(E426=4,"Sub-indicator", "Sub-sub-indicator")))))</f>
        <v>Sub-indicator</v>
      </c>
      <c r="G426" s="8">
        <v>1</v>
      </c>
      <c r="H426" s="8" t="s">
        <v>2078</v>
      </c>
      <c r="I426" s="8" t="s">
        <v>400</v>
      </c>
      <c r="J426" s="8" t="s">
        <v>1958</v>
      </c>
      <c r="K426" s="8" t="s">
        <v>1760</v>
      </c>
      <c r="L426" s="8" t="s">
        <v>401</v>
      </c>
      <c r="M426" s="8" t="s">
        <v>402</v>
      </c>
      <c r="N426" s="8" t="s">
        <v>31</v>
      </c>
      <c r="O426" s="8" t="s">
        <v>31</v>
      </c>
      <c r="P426" s="8" t="s">
        <v>31</v>
      </c>
      <c r="Q426" s="9" t="s">
        <v>2079</v>
      </c>
      <c r="R426" s="8" t="s">
        <v>404</v>
      </c>
      <c r="S426" s="10">
        <v>45427</v>
      </c>
      <c r="T426" s="8" t="s">
        <v>2080</v>
      </c>
      <c r="U426" s="14" t="s">
        <v>144</v>
      </c>
      <c r="V426" s="8" t="s">
        <v>155</v>
      </c>
      <c r="W426" s="8" t="s">
        <v>406</v>
      </c>
      <c r="X426" s="8" t="s">
        <v>407</v>
      </c>
      <c r="Y426" s="8" t="s">
        <v>58</v>
      </c>
      <c r="Z426" s="8" t="s">
        <v>31</v>
      </c>
      <c r="AA426" s="8" t="s">
        <v>408</v>
      </c>
      <c r="AB426" s="8" t="s">
        <v>409</v>
      </c>
    </row>
    <row r="427" spans="1:28">
      <c r="A427" s="8">
        <v>426</v>
      </c>
      <c r="B427" s="8" t="s">
        <v>2081</v>
      </c>
      <c r="C427" s="8" t="s">
        <v>2073</v>
      </c>
      <c r="D427" s="8" t="s">
        <v>2074</v>
      </c>
      <c r="E427" s="8">
        <v>4</v>
      </c>
      <c r="F427" s="8" t="str">
        <f>IF(E427=0,"Overall",IF(E427=1,"Category",IF(E427=2,"Sub-category",IF(E427=3,"Indicator",IF(E427=4,"Sub-indicator", "Sub-sub-indicator")))))</f>
        <v>Sub-indicator</v>
      </c>
      <c r="G427" s="8">
        <v>1</v>
      </c>
      <c r="H427" s="8" t="s">
        <v>2082</v>
      </c>
      <c r="I427" s="8" t="s">
        <v>367</v>
      </c>
      <c r="J427" s="8" t="s">
        <v>1958</v>
      </c>
      <c r="K427" s="8" t="s">
        <v>1760</v>
      </c>
      <c r="L427" s="8" t="s">
        <v>368</v>
      </c>
      <c r="M427" s="8" t="s">
        <v>369</v>
      </c>
      <c r="N427" s="8" t="s">
        <v>31</v>
      </c>
      <c r="O427" s="8" t="s">
        <v>31</v>
      </c>
      <c r="P427" s="8" t="s">
        <v>31</v>
      </c>
      <c r="Q427" s="9" t="s">
        <v>2083</v>
      </c>
      <c r="R427" s="8" t="s">
        <v>53</v>
      </c>
      <c r="S427" s="10">
        <v>45484</v>
      </c>
      <c r="T427" s="8" t="s">
        <v>2084</v>
      </c>
      <c r="U427" s="8" t="s">
        <v>372</v>
      </c>
      <c r="V427" s="8" t="s">
        <v>155</v>
      </c>
      <c r="W427" s="8" t="s">
        <v>373</v>
      </c>
      <c r="X427" s="8" t="s">
        <v>374</v>
      </c>
      <c r="Y427" s="8" t="s">
        <v>375</v>
      </c>
      <c r="Z427" s="8" t="s">
        <v>31</v>
      </c>
      <c r="AA427" s="8" t="s">
        <v>376</v>
      </c>
    </row>
    <row r="428" spans="1:28">
      <c r="A428" s="8">
        <v>427</v>
      </c>
      <c r="B428" s="8" t="s">
        <v>2085</v>
      </c>
      <c r="C428" s="8" t="s">
        <v>2073</v>
      </c>
      <c r="D428" s="8" t="s">
        <v>2074</v>
      </c>
      <c r="E428" s="8">
        <v>4</v>
      </c>
      <c r="F428" s="8" t="s">
        <v>136</v>
      </c>
      <c r="G428" s="8">
        <v>1</v>
      </c>
      <c r="H428" s="8" t="s">
        <v>2086</v>
      </c>
      <c r="I428" s="8" t="s">
        <v>719</v>
      </c>
      <c r="J428" s="8" t="s">
        <v>1958</v>
      </c>
      <c r="K428" s="8" t="s">
        <v>1760</v>
      </c>
      <c r="L428" s="8" t="s">
        <v>720</v>
      </c>
      <c r="M428" s="8" t="s">
        <v>2087</v>
      </c>
      <c r="N428" s="8" t="s">
        <v>31</v>
      </c>
      <c r="O428" s="8" t="s">
        <v>31</v>
      </c>
      <c r="P428" s="8" t="s">
        <v>31</v>
      </c>
      <c r="Q428" s="9" t="s">
        <v>2088</v>
      </c>
      <c r="R428" s="8" t="s">
        <v>2089</v>
      </c>
      <c r="S428" s="10">
        <v>45504</v>
      </c>
      <c r="T428" s="8" t="s">
        <v>2090</v>
      </c>
      <c r="U428" s="8" t="s">
        <v>2091</v>
      </c>
      <c r="V428" s="8" t="s">
        <v>155</v>
      </c>
      <c r="W428" s="8" t="s">
        <v>2092</v>
      </c>
      <c r="X428" s="8" t="s">
        <v>2093</v>
      </c>
      <c r="Y428" s="8" t="s">
        <v>1315</v>
      </c>
      <c r="Z428" s="8" t="s">
        <v>31</v>
      </c>
    </row>
    <row r="429" spans="1:28">
      <c r="A429" s="8">
        <v>428</v>
      </c>
      <c r="B429" s="8" t="s">
        <v>2094</v>
      </c>
      <c r="C429" s="8" t="s">
        <v>1957</v>
      </c>
      <c r="D429" s="8" t="s">
        <v>1958</v>
      </c>
      <c r="E429" s="12">
        <v>3</v>
      </c>
      <c r="F429" s="12" t="s">
        <v>186</v>
      </c>
      <c r="G429" s="8">
        <v>0</v>
      </c>
      <c r="H429" s="12" t="s">
        <v>2095</v>
      </c>
      <c r="I429" s="8" t="s">
        <v>188</v>
      </c>
      <c r="J429" s="8" t="s">
        <v>1958</v>
      </c>
      <c r="K429" s="8" t="s">
        <v>1760</v>
      </c>
      <c r="L429" s="8" t="s">
        <v>33</v>
      </c>
      <c r="M429" s="8" t="s">
        <v>31</v>
      </c>
      <c r="N429" s="8" t="s">
        <v>31</v>
      </c>
      <c r="O429" s="8" t="s">
        <v>31</v>
      </c>
      <c r="P429" s="8" t="s">
        <v>31</v>
      </c>
      <c r="Q429" s="9" t="s">
        <v>2096</v>
      </c>
      <c r="R429" s="8" t="s">
        <v>31</v>
      </c>
      <c r="S429" s="10" t="s">
        <v>31</v>
      </c>
      <c r="T429" s="8" t="s">
        <v>31</v>
      </c>
      <c r="U429" s="8" t="s">
        <v>31</v>
      </c>
      <c r="V429" s="8" t="s">
        <v>31</v>
      </c>
      <c r="W429" s="8" t="s">
        <v>31</v>
      </c>
      <c r="X429" s="8" t="s">
        <v>31</v>
      </c>
      <c r="Y429" s="8" t="s">
        <v>31</v>
      </c>
      <c r="Z429" s="8" t="s">
        <v>31</v>
      </c>
    </row>
    <row r="430" spans="1:28">
      <c r="A430" s="8">
        <v>429</v>
      </c>
      <c r="B430" s="8" t="s">
        <v>2097</v>
      </c>
      <c r="C430" s="8" t="s">
        <v>2094</v>
      </c>
      <c r="D430" s="8" t="s">
        <v>2095</v>
      </c>
      <c r="E430" s="8">
        <v>4</v>
      </c>
      <c r="F430" s="8" t="s">
        <v>136</v>
      </c>
      <c r="G430" s="8">
        <v>1</v>
      </c>
      <c r="H430" s="8" t="s">
        <v>2098</v>
      </c>
      <c r="I430" s="8" t="s">
        <v>188</v>
      </c>
      <c r="J430" s="8" t="s">
        <v>1958</v>
      </c>
      <c r="K430" s="8" t="s">
        <v>1760</v>
      </c>
      <c r="L430" s="8" t="s">
        <v>192</v>
      </c>
      <c r="M430" s="8" t="s">
        <v>193</v>
      </c>
      <c r="N430" s="8" t="s">
        <v>31</v>
      </c>
      <c r="O430" s="8" t="s">
        <v>31</v>
      </c>
      <c r="P430" s="8" t="s">
        <v>31</v>
      </c>
      <c r="Q430" s="8" t="s">
        <v>2099</v>
      </c>
      <c r="R430" s="8" t="s">
        <v>53</v>
      </c>
      <c r="S430" s="10">
        <v>45498</v>
      </c>
      <c r="T430" s="8" t="s">
        <v>2100</v>
      </c>
      <c r="U430" s="8" t="s">
        <v>196</v>
      </c>
      <c r="V430" s="8" t="s">
        <v>197</v>
      </c>
      <c r="W430" s="8" t="s">
        <v>198</v>
      </c>
      <c r="X430" s="8" t="s">
        <v>748</v>
      </c>
      <c r="Y430" s="8" t="s">
        <v>749</v>
      </c>
      <c r="Z430" s="8" t="s">
        <v>31</v>
      </c>
      <c r="AA430" s="8" t="s">
        <v>201</v>
      </c>
      <c r="AB430" s="8" t="s">
        <v>202</v>
      </c>
    </row>
    <row r="431" spans="1:28">
      <c r="A431" s="8">
        <v>430</v>
      </c>
      <c r="B431" s="8" t="s">
        <v>2101</v>
      </c>
      <c r="C431" s="8" t="s">
        <v>2094</v>
      </c>
      <c r="D431" s="8" t="s">
        <v>2095</v>
      </c>
      <c r="E431" s="8">
        <v>4</v>
      </c>
      <c r="F431" s="8" t="s">
        <v>136</v>
      </c>
      <c r="G431" s="8">
        <v>1</v>
      </c>
      <c r="H431" s="8" t="s">
        <v>2102</v>
      </c>
      <c r="I431" s="8" t="s">
        <v>188</v>
      </c>
      <c r="J431" s="8" t="s">
        <v>1958</v>
      </c>
      <c r="K431" s="8" t="s">
        <v>1760</v>
      </c>
      <c r="L431" s="8" t="s">
        <v>192</v>
      </c>
      <c r="M431" s="8" t="s">
        <v>193</v>
      </c>
      <c r="N431" s="8" t="s">
        <v>31</v>
      </c>
      <c r="O431" s="8" t="s">
        <v>31</v>
      </c>
      <c r="P431" s="8" t="s">
        <v>31</v>
      </c>
      <c r="Q431" s="8" t="s">
        <v>2103</v>
      </c>
      <c r="R431" s="8" t="s">
        <v>53</v>
      </c>
      <c r="S431" s="10">
        <v>45498</v>
      </c>
      <c r="T431" s="8" t="s">
        <v>2104</v>
      </c>
      <c r="U431" s="8" t="s">
        <v>196</v>
      </c>
      <c r="V431" s="8" t="s">
        <v>197</v>
      </c>
      <c r="W431" s="8" t="s">
        <v>198</v>
      </c>
      <c r="X431" s="8" t="s">
        <v>199</v>
      </c>
      <c r="Y431" s="8" t="s">
        <v>200</v>
      </c>
      <c r="Z431" s="8" t="s">
        <v>31</v>
      </c>
      <c r="AA431" s="8" t="s">
        <v>201</v>
      </c>
      <c r="AB431" s="8" t="s">
        <v>202</v>
      </c>
    </row>
    <row r="432" spans="1:28" s="6" customFormat="1">
      <c r="A432" s="6">
        <v>431</v>
      </c>
      <c r="B432" s="6" t="s">
        <v>2105</v>
      </c>
      <c r="C432" s="6" t="s">
        <v>1759</v>
      </c>
      <c r="D432" s="6" t="s">
        <v>1760</v>
      </c>
      <c r="E432" s="6">
        <v>2</v>
      </c>
      <c r="F432" s="6" t="str">
        <f t="shared" ref="F432:F451" si="45">IF(E432=0,"Overall",IF(E432=1,"Category",IF(E432=2,"Sub-category",IF(E432=3,"Indicator",IF(E432=4,"Sub-indicator", "Sub-sub-indicator")))))</f>
        <v>Sub-category</v>
      </c>
      <c r="G432" s="6">
        <v>0</v>
      </c>
      <c r="H432" s="6" t="s">
        <v>2106</v>
      </c>
      <c r="I432" s="6" t="s">
        <v>31</v>
      </c>
      <c r="J432" s="6" t="s">
        <v>31</v>
      </c>
      <c r="K432" s="6" t="str">
        <f t="shared" ref="K432:K437" si="46">$H$369</f>
        <v>HUMAN DEVELOPMENT</v>
      </c>
      <c r="L432" s="6" t="s">
        <v>33</v>
      </c>
      <c r="M432" s="6" t="s">
        <v>31</v>
      </c>
      <c r="N432" s="6" t="s">
        <v>31</v>
      </c>
      <c r="O432" s="6" t="s">
        <v>31</v>
      </c>
      <c r="P432" s="6" t="s">
        <v>31</v>
      </c>
      <c r="Q432" s="24" t="s">
        <v>2107</v>
      </c>
      <c r="R432" s="6" t="s">
        <v>31</v>
      </c>
      <c r="S432" s="6" t="s">
        <v>31</v>
      </c>
      <c r="T432" s="6" t="s">
        <v>31</v>
      </c>
      <c r="U432" s="6" t="s">
        <v>31</v>
      </c>
      <c r="V432" s="6" t="s">
        <v>31</v>
      </c>
      <c r="W432" s="6" t="s">
        <v>31</v>
      </c>
      <c r="X432" s="6" t="s">
        <v>31</v>
      </c>
      <c r="Y432" s="6" t="s">
        <v>31</v>
      </c>
      <c r="Z432" s="6" t="s">
        <v>31</v>
      </c>
    </row>
    <row r="433" spans="1:28">
      <c r="A433" s="8">
        <v>432</v>
      </c>
      <c r="B433" s="8" t="s">
        <v>2108</v>
      </c>
      <c r="C433" s="8" t="s">
        <v>2105</v>
      </c>
      <c r="D433" s="8" t="s">
        <v>2106</v>
      </c>
      <c r="E433" s="12">
        <v>3</v>
      </c>
      <c r="F433" s="12" t="str">
        <f t="shared" si="45"/>
        <v>Indicator</v>
      </c>
      <c r="G433" s="8">
        <v>0</v>
      </c>
      <c r="H433" s="12" t="s">
        <v>2109</v>
      </c>
      <c r="I433" s="8" t="s">
        <v>603</v>
      </c>
      <c r="J433" s="8" t="str">
        <f t="shared" ref="J433:J453" si="47">$H$432</f>
        <v>SOCIAL PROTECTION &amp; WELFARE</v>
      </c>
      <c r="K433" s="8" t="str">
        <f t="shared" si="46"/>
        <v>HUMAN DEVELOPMENT</v>
      </c>
      <c r="L433" s="8" t="s">
        <v>33</v>
      </c>
      <c r="M433" s="8" t="s">
        <v>31</v>
      </c>
      <c r="N433" s="8" t="s">
        <v>31</v>
      </c>
      <c r="O433" s="8" t="s">
        <v>31</v>
      </c>
      <c r="P433" s="8" t="s">
        <v>31</v>
      </c>
      <c r="Q433" s="9" t="s">
        <v>2110</v>
      </c>
      <c r="R433" s="8" t="s">
        <v>31</v>
      </c>
      <c r="S433" s="10" t="s">
        <v>31</v>
      </c>
      <c r="T433" s="8" t="s">
        <v>31</v>
      </c>
      <c r="U433" s="8" t="s">
        <v>31</v>
      </c>
      <c r="V433" s="8" t="s">
        <v>31</v>
      </c>
      <c r="W433" s="8" t="s">
        <v>31</v>
      </c>
      <c r="X433" s="8" t="s">
        <v>31</v>
      </c>
      <c r="Y433" s="8" t="s">
        <v>31</v>
      </c>
      <c r="Z433" s="8" t="s">
        <v>31</v>
      </c>
    </row>
    <row r="434" spans="1:28">
      <c r="A434" s="8">
        <v>433</v>
      </c>
      <c r="B434" s="8" t="s">
        <v>2111</v>
      </c>
      <c r="C434" s="8" t="s">
        <v>2108</v>
      </c>
      <c r="D434" s="8" t="s">
        <v>2109</v>
      </c>
      <c r="E434" s="8">
        <v>4</v>
      </c>
      <c r="F434" s="8" t="str">
        <f t="shared" si="45"/>
        <v>Sub-indicator</v>
      </c>
      <c r="G434" s="8">
        <v>0</v>
      </c>
      <c r="H434" s="8" t="s">
        <v>2109</v>
      </c>
      <c r="I434" s="8" t="s">
        <v>267</v>
      </c>
      <c r="J434" s="8" t="str">
        <f t="shared" si="47"/>
        <v>SOCIAL PROTECTION &amp; WELFARE</v>
      </c>
      <c r="K434" s="8" t="str">
        <f t="shared" si="46"/>
        <v>HUMAN DEVELOPMENT</v>
      </c>
      <c r="L434" s="8" t="s">
        <v>33</v>
      </c>
      <c r="M434" s="8" t="s">
        <v>31</v>
      </c>
      <c r="N434" s="8" t="s">
        <v>31</v>
      </c>
      <c r="O434" s="8" t="s">
        <v>31</v>
      </c>
      <c r="P434" s="8" t="s">
        <v>31</v>
      </c>
      <c r="Q434" s="9" t="s">
        <v>2112</v>
      </c>
      <c r="R434" s="8" t="s">
        <v>31</v>
      </c>
      <c r="S434" s="10" t="s">
        <v>31</v>
      </c>
      <c r="T434" s="8" t="s">
        <v>31</v>
      </c>
      <c r="U434" s="8" t="s">
        <v>31</v>
      </c>
      <c r="V434" s="8" t="s">
        <v>31</v>
      </c>
      <c r="W434" s="8" t="s">
        <v>31</v>
      </c>
      <c r="X434" s="8" t="s">
        <v>31</v>
      </c>
      <c r="Y434" s="8" t="s">
        <v>31</v>
      </c>
      <c r="Z434" s="8" t="s">
        <v>31</v>
      </c>
    </row>
    <row r="435" spans="1:28">
      <c r="A435" s="8">
        <v>434</v>
      </c>
      <c r="B435" s="8" t="s">
        <v>2113</v>
      </c>
      <c r="C435" s="8" t="s">
        <v>2111</v>
      </c>
      <c r="D435" s="8" t="s">
        <v>2109</v>
      </c>
      <c r="E435" s="8">
        <v>5</v>
      </c>
      <c r="F435" s="8" t="str">
        <f t="shared" si="45"/>
        <v>Sub-sub-indicator</v>
      </c>
      <c r="G435" s="8">
        <v>1</v>
      </c>
      <c r="H435" s="8" t="s">
        <v>2114</v>
      </c>
      <c r="I435" s="8" t="s">
        <v>267</v>
      </c>
      <c r="J435" s="8" t="str">
        <f t="shared" si="47"/>
        <v>SOCIAL PROTECTION &amp; WELFARE</v>
      </c>
      <c r="K435" s="8" t="str">
        <f t="shared" si="46"/>
        <v>HUMAN DEVELOPMENT</v>
      </c>
      <c r="L435" s="8" t="s">
        <v>268</v>
      </c>
      <c r="M435" s="8" t="s">
        <v>269</v>
      </c>
      <c r="N435" s="8" t="s">
        <v>31</v>
      </c>
      <c r="O435" s="8" t="s">
        <v>31</v>
      </c>
      <c r="P435" s="8" t="s">
        <v>31</v>
      </c>
      <c r="Q435" s="9" t="s">
        <v>2115</v>
      </c>
      <c r="R435" s="8" t="s">
        <v>53</v>
      </c>
      <c r="S435" s="10">
        <v>45481</v>
      </c>
      <c r="T435" s="8" t="s">
        <v>2116</v>
      </c>
      <c r="U435" s="8" t="s">
        <v>196</v>
      </c>
      <c r="V435" s="8" t="s">
        <v>155</v>
      </c>
      <c r="W435" s="8" t="s">
        <v>272</v>
      </c>
      <c r="X435" s="8" t="s">
        <v>58</v>
      </c>
      <c r="Y435" s="8" t="s">
        <v>58</v>
      </c>
      <c r="Z435" s="8" t="s">
        <v>31</v>
      </c>
      <c r="AA435" s="8" t="s">
        <v>273</v>
      </c>
    </row>
    <row r="436" spans="1:28">
      <c r="A436" s="8">
        <v>435</v>
      </c>
      <c r="B436" s="8" t="s">
        <v>2117</v>
      </c>
      <c r="C436" s="8" t="s">
        <v>2111</v>
      </c>
      <c r="D436" s="8" t="s">
        <v>2109</v>
      </c>
      <c r="E436" s="8">
        <v>5</v>
      </c>
      <c r="F436" s="8" t="str">
        <f t="shared" si="45"/>
        <v>Sub-sub-indicator</v>
      </c>
      <c r="G436" s="8">
        <v>1</v>
      </c>
      <c r="H436" s="8" t="s">
        <v>2118</v>
      </c>
      <c r="I436" s="8" t="s">
        <v>267</v>
      </c>
      <c r="J436" s="8" t="str">
        <f t="shared" si="47"/>
        <v>SOCIAL PROTECTION &amp; WELFARE</v>
      </c>
      <c r="K436" s="8" t="str">
        <f t="shared" si="46"/>
        <v>HUMAN DEVELOPMENT</v>
      </c>
      <c r="L436" s="8" t="s">
        <v>268</v>
      </c>
      <c r="M436" s="8" t="s">
        <v>269</v>
      </c>
      <c r="N436" s="8" t="s">
        <v>31</v>
      </c>
      <c r="O436" s="8" t="s">
        <v>31</v>
      </c>
      <c r="P436" s="8" t="s">
        <v>31</v>
      </c>
      <c r="Q436" s="9" t="s">
        <v>2119</v>
      </c>
      <c r="R436" s="8" t="s">
        <v>53</v>
      </c>
      <c r="S436" s="10">
        <v>45481</v>
      </c>
      <c r="T436" s="8" t="s">
        <v>2120</v>
      </c>
      <c r="U436" s="8" t="s">
        <v>196</v>
      </c>
      <c r="V436" s="8" t="s">
        <v>155</v>
      </c>
      <c r="W436" s="8" t="s">
        <v>272</v>
      </c>
      <c r="X436" s="8" t="s">
        <v>58</v>
      </c>
      <c r="Y436" s="8" t="s">
        <v>58</v>
      </c>
      <c r="Z436" s="8" t="s">
        <v>31</v>
      </c>
      <c r="AA436" s="8" t="s">
        <v>273</v>
      </c>
    </row>
    <row r="437" spans="1:28">
      <c r="A437" s="8">
        <v>436</v>
      </c>
      <c r="B437" s="8" t="s">
        <v>2121</v>
      </c>
      <c r="C437" s="8" t="s">
        <v>2111</v>
      </c>
      <c r="D437" s="8" t="s">
        <v>2109</v>
      </c>
      <c r="E437" s="8">
        <v>5</v>
      </c>
      <c r="F437" s="8" t="str">
        <f t="shared" si="45"/>
        <v>Sub-sub-indicator</v>
      </c>
      <c r="G437" s="8">
        <v>1</v>
      </c>
      <c r="H437" s="8" t="s">
        <v>2122</v>
      </c>
      <c r="I437" s="8" t="s">
        <v>267</v>
      </c>
      <c r="J437" s="8" t="str">
        <f t="shared" si="47"/>
        <v>SOCIAL PROTECTION &amp; WELFARE</v>
      </c>
      <c r="K437" s="8" t="str">
        <f t="shared" si="46"/>
        <v>HUMAN DEVELOPMENT</v>
      </c>
      <c r="L437" s="8" t="s">
        <v>268</v>
      </c>
      <c r="M437" s="8" t="s">
        <v>269</v>
      </c>
      <c r="N437" s="8" t="s">
        <v>31</v>
      </c>
      <c r="O437" s="8" t="s">
        <v>31</v>
      </c>
      <c r="P437" s="8" t="s">
        <v>31</v>
      </c>
      <c r="Q437" s="9" t="s">
        <v>2123</v>
      </c>
      <c r="R437" s="8" t="s">
        <v>53</v>
      </c>
      <c r="S437" s="10">
        <v>45481</v>
      </c>
      <c r="T437" s="8" t="s">
        <v>2124</v>
      </c>
      <c r="U437" s="8" t="s">
        <v>196</v>
      </c>
      <c r="V437" s="8" t="s">
        <v>155</v>
      </c>
      <c r="W437" s="8" t="s">
        <v>272</v>
      </c>
      <c r="X437" s="8" t="s">
        <v>58</v>
      </c>
      <c r="Y437" s="8" t="s">
        <v>58</v>
      </c>
      <c r="Z437" s="8" t="s">
        <v>31</v>
      </c>
      <c r="AA437" s="8" t="s">
        <v>273</v>
      </c>
    </row>
    <row r="438" spans="1:28">
      <c r="A438" s="8">
        <v>437</v>
      </c>
      <c r="B438" s="8" t="s">
        <v>2125</v>
      </c>
      <c r="C438" s="8" t="s">
        <v>2108</v>
      </c>
      <c r="D438" s="8" t="s">
        <v>2109</v>
      </c>
      <c r="E438" s="8">
        <v>4</v>
      </c>
      <c r="F438" s="8" t="str">
        <f t="shared" si="45"/>
        <v>Sub-indicator</v>
      </c>
      <c r="G438" s="8">
        <v>1</v>
      </c>
      <c r="H438" s="8" t="s">
        <v>2109</v>
      </c>
      <c r="I438" s="8" t="s">
        <v>400</v>
      </c>
      <c r="J438" s="8" t="str">
        <f t="shared" si="47"/>
        <v>SOCIAL PROTECTION &amp; WELFARE</v>
      </c>
      <c r="K438" s="8" t="s">
        <v>1760</v>
      </c>
      <c r="L438" s="8" t="s">
        <v>401</v>
      </c>
      <c r="M438" s="8" t="s">
        <v>402</v>
      </c>
      <c r="N438" s="8" t="s">
        <v>31</v>
      </c>
      <c r="O438" s="8" t="s">
        <v>31</v>
      </c>
      <c r="P438" s="8" t="s">
        <v>31</v>
      </c>
      <c r="Q438" s="9" t="s">
        <v>2126</v>
      </c>
      <c r="R438" s="8" t="s">
        <v>404</v>
      </c>
      <c r="S438" s="10">
        <v>45427</v>
      </c>
      <c r="T438" s="8" t="s">
        <v>2127</v>
      </c>
      <c r="U438" s="14" t="s">
        <v>144</v>
      </c>
      <c r="V438" s="8" t="s">
        <v>155</v>
      </c>
      <c r="W438" s="8" t="s">
        <v>406</v>
      </c>
      <c r="X438" s="8" t="s">
        <v>407</v>
      </c>
      <c r="Y438" s="8" t="s">
        <v>58</v>
      </c>
      <c r="Z438" s="8" t="s">
        <v>31</v>
      </c>
      <c r="AA438" s="8" t="s">
        <v>408</v>
      </c>
      <c r="AB438" s="8" t="s">
        <v>409</v>
      </c>
    </row>
    <row r="439" spans="1:28">
      <c r="A439" s="8">
        <v>438</v>
      </c>
      <c r="B439" s="8" t="s">
        <v>2128</v>
      </c>
      <c r="C439" s="8" t="s">
        <v>2105</v>
      </c>
      <c r="D439" s="8" t="s">
        <v>2106</v>
      </c>
      <c r="E439" s="12">
        <v>3</v>
      </c>
      <c r="F439" s="12" t="str">
        <f t="shared" si="45"/>
        <v>Indicator</v>
      </c>
      <c r="G439" s="8">
        <v>0</v>
      </c>
      <c r="H439" s="12" t="s">
        <v>2129</v>
      </c>
      <c r="I439" s="8" t="s">
        <v>1472</v>
      </c>
      <c r="J439" s="8" t="str">
        <f t="shared" si="47"/>
        <v>SOCIAL PROTECTION &amp; WELFARE</v>
      </c>
      <c r="K439" s="8" t="str">
        <f>$H$369</f>
        <v>HUMAN DEVELOPMENT</v>
      </c>
      <c r="L439" s="8" t="s">
        <v>33</v>
      </c>
      <c r="M439" s="8" t="s">
        <v>31</v>
      </c>
      <c r="N439" s="8" t="s">
        <v>31</v>
      </c>
      <c r="O439" s="8" t="s">
        <v>31</v>
      </c>
      <c r="P439" s="8" t="s">
        <v>31</v>
      </c>
      <c r="Q439" s="9" t="s">
        <v>2130</v>
      </c>
      <c r="R439" s="8" t="s">
        <v>31</v>
      </c>
      <c r="S439" s="10" t="s">
        <v>31</v>
      </c>
      <c r="T439" s="8" t="s">
        <v>31</v>
      </c>
      <c r="U439" s="8" t="s">
        <v>31</v>
      </c>
      <c r="V439" s="8" t="s">
        <v>31</v>
      </c>
      <c r="W439" s="8" t="s">
        <v>31</v>
      </c>
      <c r="X439" s="8" t="s">
        <v>31</v>
      </c>
      <c r="Y439" s="8" t="s">
        <v>31</v>
      </c>
      <c r="Z439" s="8" t="s">
        <v>31</v>
      </c>
    </row>
    <row r="440" spans="1:28">
      <c r="A440" s="8">
        <v>439</v>
      </c>
      <c r="B440" s="8" t="s">
        <v>2131</v>
      </c>
      <c r="C440" s="8" t="s">
        <v>2128</v>
      </c>
      <c r="D440" s="8" t="s">
        <v>2129</v>
      </c>
      <c r="E440" s="8">
        <v>4</v>
      </c>
      <c r="F440" s="8" t="str">
        <f t="shared" si="45"/>
        <v>Sub-indicator</v>
      </c>
      <c r="G440" s="8">
        <v>1</v>
      </c>
      <c r="H440" s="8" t="s">
        <v>2132</v>
      </c>
      <c r="I440" s="8" t="s">
        <v>400</v>
      </c>
      <c r="J440" s="8" t="str">
        <f t="shared" si="47"/>
        <v>SOCIAL PROTECTION &amp; WELFARE</v>
      </c>
      <c r="K440" s="8" t="str">
        <f>$H$369</f>
        <v>HUMAN DEVELOPMENT</v>
      </c>
      <c r="L440" s="8" t="s">
        <v>401</v>
      </c>
      <c r="M440" s="8" t="s">
        <v>402</v>
      </c>
      <c r="N440" s="8" t="s">
        <v>31</v>
      </c>
      <c r="O440" s="8" t="s">
        <v>31</v>
      </c>
      <c r="P440" s="8" t="s">
        <v>31</v>
      </c>
      <c r="Q440" s="9" t="s">
        <v>2133</v>
      </c>
      <c r="R440" s="8" t="s">
        <v>404</v>
      </c>
      <c r="S440" s="10">
        <v>45427</v>
      </c>
      <c r="T440" s="8" t="s">
        <v>2134</v>
      </c>
      <c r="U440" s="14" t="s">
        <v>144</v>
      </c>
      <c r="V440" s="8" t="s">
        <v>155</v>
      </c>
      <c r="W440" s="8" t="s">
        <v>406</v>
      </c>
      <c r="X440" s="8" t="s">
        <v>407</v>
      </c>
      <c r="Y440" s="8" t="s">
        <v>58</v>
      </c>
      <c r="Z440" s="8" t="s">
        <v>31</v>
      </c>
      <c r="AA440" s="8" t="s">
        <v>408</v>
      </c>
      <c r="AB440" s="8" t="s">
        <v>409</v>
      </c>
    </row>
    <row r="441" spans="1:28">
      <c r="A441" s="8">
        <v>440</v>
      </c>
      <c r="B441" s="8" t="s">
        <v>2135</v>
      </c>
      <c r="C441" s="8" t="s">
        <v>2128</v>
      </c>
      <c r="D441" s="8" t="s">
        <v>2129</v>
      </c>
      <c r="E441" s="8">
        <v>4</v>
      </c>
      <c r="F441" s="8" t="str">
        <f t="shared" si="45"/>
        <v>Sub-indicator</v>
      </c>
      <c r="G441" s="8">
        <v>0</v>
      </c>
      <c r="H441" s="8" t="s">
        <v>2136</v>
      </c>
      <c r="I441" s="8" t="s">
        <v>1365</v>
      </c>
      <c r="J441" s="8" t="str">
        <f t="shared" si="47"/>
        <v>SOCIAL PROTECTION &amp; WELFARE</v>
      </c>
      <c r="K441" s="8" t="str">
        <f>H369</f>
        <v>HUMAN DEVELOPMENT</v>
      </c>
      <c r="L441" s="8" t="s">
        <v>33</v>
      </c>
      <c r="M441" s="8" t="s">
        <v>31</v>
      </c>
      <c r="N441" s="8" t="s">
        <v>31</v>
      </c>
      <c r="O441" s="8" t="s">
        <v>31</v>
      </c>
      <c r="P441" s="8" t="s">
        <v>31</v>
      </c>
      <c r="Q441" s="9" t="s">
        <v>2137</v>
      </c>
      <c r="R441" s="8" t="s">
        <v>31</v>
      </c>
      <c r="S441" s="10" t="s">
        <v>31</v>
      </c>
      <c r="T441" s="8" t="s">
        <v>31</v>
      </c>
      <c r="U441" s="8" t="s">
        <v>31</v>
      </c>
      <c r="V441" s="8" t="s">
        <v>31</v>
      </c>
      <c r="W441" s="8" t="s">
        <v>31</v>
      </c>
      <c r="X441" s="8" t="s">
        <v>31</v>
      </c>
      <c r="Y441" s="8" t="s">
        <v>31</v>
      </c>
      <c r="Z441" s="8" t="s">
        <v>31</v>
      </c>
    </row>
    <row r="442" spans="1:28">
      <c r="A442" s="8">
        <v>441</v>
      </c>
      <c r="B442" s="8" t="s">
        <v>2138</v>
      </c>
      <c r="C442" s="8" t="s">
        <v>2135</v>
      </c>
      <c r="D442" s="8" t="s">
        <v>2136</v>
      </c>
      <c r="E442" s="8">
        <v>5</v>
      </c>
      <c r="F442" s="8" t="str">
        <f t="shared" si="45"/>
        <v>Sub-sub-indicator</v>
      </c>
      <c r="G442" s="8">
        <v>1</v>
      </c>
      <c r="H442" s="8" t="s">
        <v>2136</v>
      </c>
      <c r="I442" s="8" t="s">
        <v>1368</v>
      </c>
      <c r="J442" s="8" t="str">
        <f t="shared" si="47"/>
        <v>SOCIAL PROTECTION &amp; WELFARE</v>
      </c>
      <c r="K442" s="8" t="str">
        <f>$H$369</f>
        <v>HUMAN DEVELOPMENT</v>
      </c>
      <c r="L442" s="8" t="s">
        <v>1369</v>
      </c>
      <c r="M442" s="8" t="s">
        <v>1370</v>
      </c>
      <c r="N442" s="8" t="s">
        <v>31</v>
      </c>
      <c r="O442" s="8" t="s">
        <v>31</v>
      </c>
      <c r="P442" s="8" t="s">
        <v>31</v>
      </c>
      <c r="Q442" s="9" t="s">
        <v>2139</v>
      </c>
      <c r="R442" s="8" t="s">
        <v>1372</v>
      </c>
      <c r="S442" s="10">
        <v>45454</v>
      </c>
      <c r="T442" s="8" t="s">
        <v>2140</v>
      </c>
      <c r="U442" s="14" t="s">
        <v>1373</v>
      </c>
      <c r="V442" s="8" t="s">
        <v>155</v>
      </c>
      <c r="W442" s="8" t="s">
        <v>1374</v>
      </c>
      <c r="X442" s="8" t="s">
        <v>58</v>
      </c>
      <c r="Y442" s="8" t="s">
        <v>58</v>
      </c>
      <c r="Z442" s="8" t="s">
        <v>31</v>
      </c>
      <c r="AA442" s="8" t="s">
        <v>1375</v>
      </c>
    </row>
    <row r="443" spans="1:28">
      <c r="A443" s="8">
        <v>442</v>
      </c>
      <c r="B443" s="8" t="s">
        <v>2141</v>
      </c>
      <c r="C443" s="8" t="s">
        <v>2135</v>
      </c>
      <c r="D443" s="8" t="s">
        <v>2136</v>
      </c>
      <c r="E443" s="8">
        <v>5</v>
      </c>
      <c r="F443" s="8" t="str">
        <f t="shared" si="45"/>
        <v>Sub-sub-indicator</v>
      </c>
      <c r="G443" s="8">
        <v>1</v>
      </c>
      <c r="H443" s="8" t="s">
        <v>2136</v>
      </c>
      <c r="I443" s="8" t="s">
        <v>719</v>
      </c>
      <c r="J443" s="8" t="str">
        <f t="shared" si="47"/>
        <v>SOCIAL PROTECTION &amp; WELFARE</v>
      </c>
      <c r="K443" s="8" t="str">
        <f>$H$369</f>
        <v>HUMAN DEVELOPMENT</v>
      </c>
      <c r="L443" s="8" t="s">
        <v>720</v>
      </c>
      <c r="M443" s="8" t="s">
        <v>1377</v>
      </c>
      <c r="N443" s="8" t="s">
        <v>31</v>
      </c>
      <c r="O443" s="8" t="s">
        <v>31</v>
      </c>
      <c r="P443" s="8" t="s">
        <v>31</v>
      </c>
      <c r="Q443" s="9" t="s">
        <v>2142</v>
      </c>
      <c r="R443" s="8" t="s">
        <v>97</v>
      </c>
      <c r="S443" s="10">
        <v>45454</v>
      </c>
      <c r="T443" s="8" t="s">
        <v>2143</v>
      </c>
      <c r="U443" s="14" t="s">
        <v>1373</v>
      </c>
      <c r="V443" s="8" t="s">
        <v>155</v>
      </c>
      <c r="W443" s="8" t="s">
        <v>1380</v>
      </c>
      <c r="X443" s="8" t="s">
        <v>1381</v>
      </c>
      <c r="Y443" s="8" t="s">
        <v>58</v>
      </c>
      <c r="Z443" s="8" t="s">
        <v>31</v>
      </c>
    </row>
    <row r="444" spans="1:28">
      <c r="A444" s="8">
        <v>443</v>
      </c>
      <c r="B444" s="8" t="s">
        <v>2144</v>
      </c>
      <c r="C444" s="8" t="s">
        <v>2128</v>
      </c>
      <c r="D444" s="8" t="s">
        <v>2129</v>
      </c>
      <c r="E444" s="8">
        <v>4</v>
      </c>
      <c r="F444" s="8" t="str">
        <f t="shared" si="45"/>
        <v>Sub-indicator</v>
      </c>
      <c r="G444" s="8">
        <v>0</v>
      </c>
      <c r="H444" s="8" t="s">
        <v>2145</v>
      </c>
      <c r="I444" s="8" t="s">
        <v>1365</v>
      </c>
      <c r="J444" s="8" t="str">
        <f t="shared" si="47"/>
        <v>SOCIAL PROTECTION &amp; WELFARE</v>
      </c>
      <c r="K444" s="8" t="str">
        <f>$H$369</f>
        <v>HUMAN DEVELOPMENT</v>
      </c>
      <c r="L444" s="8" t="s">
        <v>33</v>
      </c>
      <c r="M444" s="8" t="s">
        <v>31</v>
      </c>
      <c r="N444" s="8" t="s">
        <v>31</v>
      </c>
      <c r="O444" s="8" t="s">
        <v>31</v>
      </c>
      <c r="P444" s="8" t="s">
        <v>31</v>
      </c>
      <c r="Q444" s="9" t="s">
        <v>2146</v>
      </c>
      <c r="R444" s="8" t="s">
        <v>31</v>
      </c>
      <c r="S444" s="10" t="s">
        <v>31</v>
      </c>
      <c r="T444" s="8" t="s">
        <v>31</v>
      </c>
      <c r="U444" s="8" t="s">
        <v>31</v>
      </c>
      <c r="V444" s="8" t="s">
        <v>31</v>
      </c>
      <c r="W444" s="8" t="s">
        <v>31</v>
      </c>
      <c r="X444" s="8" t="s">
        <v>31</v>
      </c>
      <c r="Y444" s="8" t="s">
        <v>31</v>
      </c>
      <c r="Z444" s="8" t="s">
        <v>31</v>
      </c>
    </row>
    <row r="445" spans="1:28">
      <c r="A445" s="8">
        <v>444</v>
      </c>
      <c r="B445" s="8" t="s">
        <v>2147</v>
      </c>
      <c r="C445" s="8" t="s">
        <v>2144</v>
      </c>
      <c r="D445" s="8" t="s">
        <v>2145</v>
      </c>
      <c r="E445" s="8">
        <v>5</v>
      </c>
      <c r="F445" s="8" t="str">
        <f t="shared" si="45"/>
        <v>Sub-sub-indicator</v>
      </c>
      <c r="G445" s="8">
        <v>1</v>
      </c>
      <c r="H445" s="8" t="s">
        <v>2145</v>
      </c>
      <c r="I445" s="8" t="s">
        <v>1368</v>
      </c>
      <c r="J445" s="8" t="str">
        <f t="shared" si="47"/>
        <v>SOCIAL PROTECTION &amp; WELFARE</v>
      </c>
      <c r="K445" s="8" t="str">
        <f>$H$369</f>
        <v>HUMAN DEVELOPMENT</v>
      </c>
      <c r="L445" s="8" t="s">
        <v>1369</v>
      </c>
      <c r="M445" s="8" t="s">
        <v>1370</v>
      </c>
      <c r="N445" s="8" t="s">
        <v>31</v>
      </c>
      <c r="O445" s="8" t="s">
        <v>31</v>
      </c>
      <c r="P445" s="8" t="s">
        <v>31</v>
      </c>
      <c r="Q445" s="9" t="s">
        <v>2148</v>
      </c>
      <c r="R445" s="8" t="s">
        <v>1372</v>
      </c>
      <c r="S445" s="10">
        <v>45454</v>
      </c>
      <c r="T445" s="8" t="s">
        <v>2149</v>
      </c>
      <c r="U445" s="14" t="s">
        <v>1373</v>
      </c>
      <c r="V445" s="8" t="s">
        <v>155</v>
      </c>
      <c r="W445" s="8" t="s">
        <v>1374</v>
      </c>
      <c r="X445" s="8" t="s">
        <v>58</v>
      </c>
      <c r="Y445" s="8" t="s">
        <v>58</v>
      </c>
      <c r="Z445" s="8" t="s">
        <v>31</v>
      </c>
      <c r="AA445" s="8" t="s">
        <v>1375</v>
      </c>
    </row>
    <row r="446" spans="1:28">
      <c r="A446" s="8">
        <v>445</v>
      </c>
      <c r="B446" s="8" t="s">
        <v>2150</v>
      </c>
      <c r="C446" s="8" t="s">
        <v>2144</v>
      </c>
      <c r="D446" s="8" t="s">
        <v>2145</v>
      </c>
      <c r="E446" s="8">
        <v>5</v>
      </c>
      <c r="F446" s="8" t="str">
        <f t="shared" si="45"/>
        <v>Sub-sub-indicator</v>
      </c>
      <c r="G446" s="8">
        <v>1</v>
      </c>
      <c r="H446" s="8" t="s">
        <v>2145</v>
      </c>
      <c r="I446" s="8" t="s">
        <v>719</v>
      </c>
      <c r="J446" s="8" t="str">
        <f t="shared" si="47"/>
        <v>SOCIAL PROTECTION &amp; WELFARE</v>
      </c>
      <c r="K446" s="8" t="str">
        <f>$H$369</f>
        <v>HUMAN DEVELOPMENT</v>
      </c>
      <c r="L446" s="8" t="s">
        <v>720</v>
      </c>
      <c r="M446" s="8" t="s">
        <v>1377</v>
      </c>
      <c r="N446" s="8" t="s">
        <v>31</v>
      </c>
      <c r="O446" s="8" t="s">
        <v>31</v>
      </c>
      <c r="P446" s="8" t="s">
        <v>31</v>
      </c>
      <c r="Q446" s="9" t="s">
        <v>2151</v>
      </c>
      <c r="R446" s="8" t="s">
        <v>97</v>
      </c>
      <c r="S446" s="10">
        <v>45454</v>
      </c>
      <c r="T446" s="8" t="s">
        <v>2152</v>
      </c>
      <c r="U446" s="14" t="s">
        <v>1373</v>
      </c>
      <c r="V446" s="8" t="s">
        <v>155</v>
      </c>
      <c r="W446" s="8" t="s">
        <v>1380</v>
      </c>
      <c r="X446" s="8" t="s">
        <v>1381</v>
      </c>
      <c r="Y446" s="8" t="s">
        <v>58</v>
      </c>
      <c r="Z446" s="8" t="s">
        <v>31</v>
      </c>
    </row>
    <row r="447" spans="1:28">
      <c r="A447" s="8">
        <v>446</v>
      </c>
      <c r="B447" s="8" t="s">
        <v>2153</v>
      </c>
      <c r="C447" s="8" t="s">
        <v>2105</v>
      </c>
      <c r="D447" s="8" t="s">
        <v>2106</v>
      </c>
      <c r="E447" s="12">
        <v>3</v>
      </c>
      <c r="F447" s="12" t="str">
        <f t="shared" si="45"/>
        <v>Indicator</v>
      </c>
      <c r="G447" s="8">
        <v>0</v>
      </c>
      <c r="H447" s="12" t="s">
        <v>2154</v>
      </c>
      <c r="I447" s="8" t="s">
        <v>2155</v>
      </c>
      <c r="J447" s="8" t="str">
        <f t="shared" si="47"/>
        <v>SOCIAL PROTECTION &amp; WELFARE</v>
      </c>
      <c r="K447" s="8" t="str">
        <f>H369</f>
        <v>HUMAN DEVELOPMENT</v>
      </c>
      <c r="L447" s="8" t="s">
        <v>33</v>
      </c>
      <c r="M447" s="8" t="s">
        <v>31</v>
      </c>
      <c r="N447" s="8" t="s">
        <v>31</v>
      </c>
      <c r="O447" s="8" t="s">
        <v>31</v>
      </c>
      <c r="P447" s="8" t="s">
        <v>31</v>
      </c>
      <c r="Q447" s="9" t="s">
        <v>2156</v>
      </c>
      <c r="R447" s="8" t="s">
        <v>31</v>
      </c>
      <c r="S447" s="10" t="s">
        <v>31</v>
      </c>
      <c r="T447" s="8" t="s">
        <v>31</v>
      </c>
      <c r="U447" s="8" t="s">
        <v>31</v>
      </c>
      <c r="V447" s="8" t="s">
        <v>31</v>
      </c>
      <c r="W447" s="8" t="s">
        <v>31</v>
      </c>
      <c r="X447" s="8" t="s">
        <v>31</v>
      </c>
      <c r="Y447" s="8" t="s">
        <v>31</v>
      </c>
      <c r="Z447" s="8" t="s">
        <v>31</v>
      </c>
    </row>
    <row r="448" spans="1:28">
      <c r="A448" s="8">
        <v>447</v>
      </c>
      <c r="B448" s="8" t="s">
        <v>2157</v>
      </c>
      <c r="C448" s="8" t="s">
        <v>2153</v>
      </c>
      <c r="D448" s="8" t="s">
        <v>2154</v>
      </c>
      <c r="E448" s="8">
        <v>4</v>
      </c>
      <c r="F448" s="8" t="str">
        <f t="shared" si="45"/>
        <v>Sub-indicator</v>
      </c>
      <c r="G448" s="8">
        <v>0</v>
      </c>
      <c r="H448" s="8" t="s">
        <v>2158</v>
      </c>
      <c r="I448" s="8" t="s">
        <v>1365</v>
      </c>
      <c r="J448" s="8" t="str">
        <f t="shared" si="47"/>
        <v>SOCIAL PROTECTION &amp; WELFARE</v>
      </c>
      <c r="K448" s="8" t="str">
        <f>H369</f>
        <v>HUMAN DEVELOPMENT</v>
      </c>
      <c r="L448" s="8" t="s">
        <v>33</v>
      </c>
      <c r="M448" s="8" t="s">
        <v>31</v>
      </c>
      <c r="N448" s="8" t="s">
        <v>31</v>
      </c>
      <c r="O448" s="8" t="s">
        <v>31</v>
      </c>
      <c r="P448" s="8" t="s">
        <v>31</v>
      </c>
      <c r="Q448" s="9" t="s">
        <v>2159</v>
      </c>
      <c r="R448" s="8" t="s">
        <v>31</v>
      </c>
      <c r="S448" s="10" t="s">
        <v>31</v>
      </c>
      <c r="T448" s="8" t="s">
        <v>31</v>
      </c>
      <c r="U448" s="8" t="s">
        <v>31</v>
      </c>
      <c r="V448" s="8" t="s">
        <v>31</v>
      </c>
      <c r="W448" s="8" t="s">
        <v>31</v>
      </c>
      <c r="X448" s="8" t="s">
        <v>31</v>
      </c>
      <c r="Y448" s="8" t="s">
        <v>31</v>
      </c>
      <c r="Z448" s="8" t="s">
        <v>31</v>
      </c>
    </row>
    <row r="449" spans="1:28">
      <c r="A449" s="8">
        <v>448</v>
      </c>
      <c r="B449" s="8" t="s">
        <v>2160</v>
      </c>
      <c r="C449" s="8" t="s">
        <v>2157</v>
      </c>
      <c r="D449" s="8" t="s">
        <v>2158</v>
      </c>
      <c r="E449" s="8">
        <v>5</v>
      </c>
      <c r="F449" s="8" t="str">
        <f t="shared" si="45"/>
        <v>Sub-sub-indicator</v>
      </c>
      <c r="G449" s="8">
        <v>1</v>
      </c>
      <c r="H449" s="8" t="s">
        <v>2158</v>
      </c>
      <c r="I449" s="8" t="s">
        <v>1368</v>
      </c>
      <c r="J449" s="8" t="str">
        <f t="shared" si="47"/>
        <v>SOCIAL PROTECTION &amp; WELFARE</v>
      </c>
      <c r="K449" s="8" t="str">
        <f>$H$369</f>
        <v>HUMAN DEVELOPMENT</v>
      </c>
      <c r="L449" s="8" t="s">
        <v>1369</v>
      </c>
      <c r="M449" s="8" t="s">
        <v>1370</v>
      </c>
      <c r="N449" s="8" t="s">
        <v>31</v>
      </c>
      <c r="O449" s="8" t="s">
        <v>31</v>
      </c>
      <c r="P449" s="8" t="s">
        <v>31</v>
      </c>
      <c r="Q449" s="9" t="s">
        <v>2161</v>
      </c>
      <c r="R449" s="8" t="s">
        <v>1372</v>
      </c>
      <c r="S449" s="10">
        <v>45454</v>
      </c>
      <c r="T449" s="8" t="s">
        <v>2158</v>
      </c>
      <c r="U449" s="14" t="s">
        <v>1373</v>
      </c>
      <c r="V449" s="8" t="s">
        <v>155</v>
      </c>
      <c r="W449" s="8" t="s">
        <v>1374</v>
      </c>
      <c r="X449" s="8" t="s">
        <v>58</v>
      </c>
      <c r="Y449" s="8" t="s">
        <v>58</v>
      </c>
      <c r="Z449" s="8" t="s">
        <v>31</v>
      </c>
      <c r="AA449" s="8" t="s">
        <v>1375</v>
      </c>
    </row>
    <row r="450" spans="1:28">
      <c r="A450" s="8">
        <v>449</v>
      </c>
      <c r="B450" s="8" t="s">
        <v>2162</v>
      </c>
      <c r="C450" s="8" t="s">
        <v>2157</v>
      </c>
      <c r="D450" s="8" t="s">
        <v>2158</v>
      </c>
      <c r="E450" s="8">
        <v>5</v>
      </c>
      <c r="F450" s="8" t="str">
        <f t="shared" si="45"/>
        <v>Sub-sub-indicator</v>
      </c>
      <c r="G450" s="8">
        <v>1</v>
      </c>
      <c r="H450" s="8" t="s">
        <v>2158</v>
      </c>
      <c r="I450" s="8" t="s">
        <v>719</v>
      </c>
      <c r="J450" s="8" t="str">
        <f t="shared" si="47"/>
        <v>SOCIAL PROTECTION &amp; WELFARE</v>
      </c>
      <c r="K450" s="8" t="str">
        <f>$H$369</f>
        <v>HUMAN DEVELOPMENT</v>
      </c>
      <c r="L450" s="8" t="s">
        <v>720</v>
      </c>
      <c r="M450" s="8" t="s">
        <v>1377</v>
      </c>
      <c r="N450" s="8" t="s">
        <v>31</v>
      </c>
      <c r="O450" s="8" t="s">
        <v>31</v>
      </c>
      <c r="P450" s="8" t="s">
        <v>31</v>
      </c>
      <c r="Q450" s="9" t="s">
        <v>2163</v>
      </c>
      <c r="R450" s="8" t="s">
        <v>97</v>
      </c>
      <c r="S450" s="10">
        <v>45454</v>
      </c>
      <c r="T450" s="8" t="s">
        <v>2164</v>
      </c>
      <c r="U450" s="14" t="s">
        <v>1373</v>
      </c>
      <c r="V450" s="8" t="s">
        <v>155</v>
      </c>
      <c r="W450" s="8" t="s">
        <v>1380</v>
      </c>
      <c r="X450" s="8" t="s">
        <v>1381</v>
      </c>
      <c r="Y450" s="8" t="s">
        <v>58</v>
      </c>
      <c r="Z450" s="8" t="s">
        <v>31</v>
      </c>
    </row>
    <row r="451" spans="1:28">
      <c r="A451" s="8">
        <v>450</v>
      </c>
      <c r="B451" s="8" t="s">
        <v>2165</v>
      </c>
      <c r="C451" s="8" t="s">
        <v>2153</v>
      </c>
      <c r="D451" s="8" t="s">
        <v>2154</v>
      </c>
      <c r="E451" s="8">
        <v>4</v>
      </c>
      <c r="F451" s="8" t="str">
        <f t="shared" si="45"/>
        <v>Sub-indicator</v>
      </c>
      <c r="G451" s="8">
        <v>1</v>
      </c>
      <c r="H451" s="8" t="s">
        <v>2166</v>
      </c>
      <c r="I451" s="8" t="s">
        <v>2167</v>
      </c>
      <c r="J451" s="8" t="str">
        <f t="shared" si="47"/>
        <v>SOCIAL PROTECTION &amp; WELFARE</v>
      </c>
      <c r="K451" s="8" t="str">
        <f>$H$369</f>
        <v>HUMAN DEVELOPMENT</v>
      </c>
      <c r="L451" s="8" t="s">
        <v>2167</v>
      </c>
      <c r="M451" s="8" t="s">
        <v>2168</v>
      </c>
      <c r="N451" s="8" t="s">
        <v>31</v>
      </c>
      <c r="O451" s="8" t="s">
        <v>31</v>
      </c>
      <c r="P451" s="8" t="s">
        <v>31</v>
      </c>
      <c r="Q451" s="9" t="s">
        <v>2169</v>
      </c>
      <c r="R451" s="8" t="s">
        <v>97</v>
      </c>
      <c r="S451" s="10">
        <v>45463</v>
      </c>
      <c r="T451" s="8" t="s">
        <v>2170</v>
      </c>
      <c r="U451" s="14" t="s">
        <v>154</v>
      </c>
      <c r="V451" s="8" t="s">
        <v>155</v>
      </c>
      <c r="W451" s="8" t="s">
        <v>2171</v>
      </c>
      <c r="X451" s="8" t="s">
        <v>58</v>
      </c>
      <c r="Y451" s="8" t="s">
        <v>58</v>
      </c>
      <c r="Z451" s="8" t="s">
        <v>31</v>
      </c>
      <c r="AA451" s="8" t="s">
        <v>2172</v>
      </c>
    </row>
    <row r="452" spans="1:28">
      <c r="A452" s="8">
        <v>451</v>
      </c>
      <c r="B452" s="8" t="s">
        <v>2173</v>
      </c>
      <c r="C452" s="8" t="s">
        <v>2153</v>
      </c>
      <c r="D452" s="8" t="s">
        <v>2154</v>
      </c>
      <c r="E452" s="8">
        <v>4</v>
      </c>
      <c r="F452" s="8" t="s">
        <v>136</v>
      </c>
      <c r="G452" s="8">
        <v>1</v>
      </c>
      <c r="H452" s="8" t="s">
        <v>2174</v>
      </c>
      <c r="I452" s="8" t="s">
        <v>2175</v>
      </c>
      <c r="J452" s="8" t="str">
        <f t="shared" si="47"/>
        <v>SOCIAL PROTECTION &amp; WELFARE</v>
      </c>
      <c r="K452" s="8" t="s">
        <v>1760</v>
      </c>
      <c r="L452" s="8" t="s">
        <v>2176</v>
      </c>
      <c r="M452" s="8" t="s">
        <v>2177</v>
      </c>
      <c r="N452" s="8" t="s">
        <v>31</v>
      </c>
      <c r="O452" s="8" t="s">
        <v>31</v>
      </c>
      <c r="P452" s="8" t="s">
        <v>31</v>
      </c>
      <c r="Q452" s="9" t="s">
        <v>2178</v>
      </c>
      <c r="R452" s="8" t="s">
        <v>53</v>
      </c>
      <c r="S452" s="10">
        <v>45455</v>
      </c>
      <c r="T452" s="8" t="s">
        <v>2179</v>
      </c>
      <c r="U452" s="14" t="s">
        <v>2180</v>
      </c>
      <c r="V452" s="8" t="s">
        <v>56</v>
      </c>
      <c r="W452" s="8" t="s">
        <v>2181</v>
      </c>
      <c r="X452" s="8" t="s">
        <v>58</v>
      </c>
      <c r="Y452" s="8" t="s">
        <v>58</v>
      </c>
      <c r="Z452" s="8" t="s">
        <v>31</v>
      </c>
      <c r="AA452" s="8" t="s">
        <v>409</v>
      </c>
    </row>
    <row r="453" spans="1:28">
      <c r="A453" s="8">
        <v>452</v>
      </c>
      <c r="B453" s="8" t="s">
        <v>2182</v>
      </c>
      <c r="C453" s="8" t="s">
        <v>2105</v>
      </c>
      <c r="D453" s="8" t="s">
        <v>2106</v>
      </c>
      <c r="E453" s="12">
        <v>3</v>
      </c>
      <c r="F453" s="12" t="str">
        <f>IF(E453=0,"Overall",IF(E453=1,"Category",IF(E453=2,"Sub-category",IF(E453=3,"Indicator",IF(E453=4,"Sub-indicator", "Sub-sub-indicator")))))</f>
        <v>Indicator</v>
      </c>
      <c r="G453" s="8">
        <v>0</v>
      </c>
      <c r="H453" s="12" t="s">
        <v>2183</v>
      </c>
      <c r="I453" s="8" t="s">
        <v>2184</v>
      </c>
      <c r="J453" s="8" t="str">
        <f t="shared" si="47"/>
        <v>SOCIAL PROTECTION &amp; WELFARE</v>
      </c>
      <c r="K453" s="8" t="str">
        <f>$H$369</f>
        <v>HUMAN DEVELOPMENT</v>
      </c>
      <c r="L453" s="8" t="s">
        <v>33</v>
      </c>
      <c r="M453" s="8" t="s">
        <v>31</v>
      </c>
      <c r="N453" s="8" t="s">
        <v>31</v>
      </c>
      <c r="O453" s="8" t="s">
        <v>31</v>
      </c>
      <c r="P453" s="8" t="s">
        <v>31</v>
      </c>
      <c r="Q453" s="9" t="s">
        <v>2185</v>
      </c>
      <c r="R453" s="8" t="s">
        <v>31</v>
      </c>
      <c r="S453" s="10" t="s">
        <v>31</v>
      </c>
      <c r="T453" s="8" t="s">
        <v>31</v>
      </c>
      <c r="U453" s="14" t="s">
        <v>31</v>
      </c>
      <c r="V453" s="8" t="s">
        <v>31</v>
      </c>
      <c r="W453" s="8" t="s">
        <v>31</v>
      </c>
      <c r="X453" s="8" t="s">
        <v>31</v>
      </c>
      <c r="Y453" s="8" t="s">
        <v>31</v>
      </c>
      <c r="Z453" s="8" t="s">
        <v>31</v>
      </c>
    </row>
    <row r="454" spans="1:28" ht="15">
      <c r="A454" s="8">
        <v>453</v>
      </c>
      <c r="B454" s="8" t="s">
        <v>2186</v>
      </c>
      <c r="C454" s="8" t="s">
        <v>2182</v>
      </c>
      <c r="D454" s="8" t="s">
        <v>2183</v>
      </c>
      <c r="E454" s="8">
        <v>4</v>
      </c>
      <c r="F454" s="8" t="s">
        <v>136</v>
      </c>
      <c r="G454" s="8">
        <v>1</v>
      </c>
      <c r="H454" s="8" t="s">
        <v>2187</v>
      </c>
      <c r="I454" s="8" t="s">
        <v>2188</v>
      </c>
      <c r="J454" s="8" t="s">
        <v>2106</v>
      </c>
      <c r="K454" s="8" t="s">
        <v>1760</v>
      </c>
      <c r="L454" s="8" t="s">
        <v>2189</v>
      </c>
      <c r="M454" s="8" t="s">
        <v>2190</v>
      </c>
      <c r="O454" s="8" t="s">
        <v>31</v>
      </c>
      <c r="P454" s="8" t="s">
        <v>31</v>
      </c>
      <c r="Q454" s="9" t="s">
        <v>2191</v>
      </c>
      <c r="R454" s="8" t="s">
        <v>97</v>
      </c>
      <c r="S454" s="10">
        <v>45504</v>
      </c>
      <c r="T454" s="8" t="s">
        <v>2192</v>
      </c>
      <c r="U454" s="14" t="s">
        <v>196</v>
      </c>
      <c r="V454" s="8" t="s">
        <v>56</v>
      </c>
      <c r="W454" s="23" t="s">
        <v>2193</v>
      </c>
      <c r="X454" s="8" t="s">
        <v>58</v>
      </c>
      <c r="Y454" s="8" t="s">
        <v>58</v>
      </c>
      <c r="Z454" s="8" t="s">
        <v>31</v>
      </c>
    </row>
    <row r="455" spans="1:28">
      <c r="A455" s="8">
        <v>454</v>
      </c>
      <c r="B455" s="8" t="s">
        <v>2194</v>
      </c>
      <c r="C455" s="8" t="s">
        <v>2182</v>
      </c>
      <c r="D455" s="8" t="s">
        <v>2183</v>
      </c>
      <c r="E455" s="8">
        <v>4</v>
      </c>
      <c r="F455" s="8" t="str">
        <f>IF(E455=0,"Overall",IF(E455=1,"Category",IF(E455=2,"Sub-category",IF(E455=3,"Indicator",IF(E455=4,"Sub-indicator", "Sub-sub-indicator")))))</f>
        <v>Sub-indicator</v>
      </c>
      <c r="G455" s="8">
        <v>1</v>
      </c>
      <c r="H455" s="8" t="s">
        <v>2195</v>
      </c>
      <c r="I455" s="8" t="s">
        <v>2196</v>
      </c>
      <c r="J455" s="8" t="str">
        <f t="shared" ref="J455:J468" si="48">$H$432</f>
        <v>SOCIAL PROTECTION &amp; WELFARE</v>
      </c>
      <c r="K455" s="8" t="str">
        <f>$H$369</f>
        <v>HUMAN DEVELOPMENT</v>
      </c>
      <c r="L455" s="8" t="s">
        <v>2197</v>
      </c>
      <c r="M455" s="8" t="s">
        <v>2198</v>
      </c>
      <c r="N455" s="8" t="s">
        <v>31</v>
      </c>
      <c r="O455" s="8" t="s">
        <v>31</v>
      </c>
      <c r="P455" s="8" t="s">
        <v>31</v>
      </c>
      <c r="Q455" s="9" t="s">
        <v>2199</v>
      </c>
      <c r="R455" s="8" t="s">
        <v>2200</v>
      </c>
      <c r="S455" s="10">
        <v>44764</v>
      </c>
      <c r="T455" s="8" t="s">
        <v>2201</v>
      </c>
      <c r="U455" s="14" t="s">
        <v>196</v>
      </c>
      <c r="V455" s="8" t="s">
        <v>155</v>
      </c>
      <c r="W455" s="8" t="s">
        <v>2202</v>
      </c>
      <c r="X455" s="8" t="s">
        <v>58</v>
      </c>
      <c r="Y455" s="8" t="s">
        <v>58</v>
      </c>
      <c r="Z455" s="8" t="s">
        <v>31</v>
      </c>
      <c r="AA455" s="8" t="s">
        <v>2203</v>
      </c>
      <c r="AB455" s="8" t="s">
        <v>2204</v>
      </c>
    </row>
    <row r="456" spans="1:28">
      <c r="A456" s="8">
        <v>455</v>
      </c>
      <c r="B456" s="8" t="s">
        <v>2205</v>
      </c>
      <c r="C456" s="8" t="s">
        <v>2105</v>
      </c>
      <c r="D456" s="8" t="s">
        <v>2106</v>
      </c>
      <c r="E456" s="12">
        <v>3</v>
      </c>
      <c r="F456" s="12" t="str">
        <f>IF(E456=0,"Overall",IF(E456=1,"Category",IF(E456=2,"Sub-category",IF(E456=3,"Indicator",IF(E456=4,"Sub-indicator", "Sub-sub-indicator")))))</f>
        <v>Indicator</v>
      </c>
      <c r="G456" s="8">
        <v>0</v>
      </c>
      <c r="H456" s="12" t="s">
        <v>2206</v>
      </c>
      <c r="I456" s="8" t="s">
        <v>2207</v>
      </c>
      <c r="J456" s="8" t="str">
        <f t="shared" si="48"/>
        <v>SOCIAL PROTECTION &amp; WELFARE</v>
      </c>
      <c r="K456" s="8" t="str">
        <f>$H$369</f>
        <v>HUMAN DEVELOPMENT</v>
      </c>
      <c r="L456" s="8" t="s">
        <v>33</v>
      </c>
      <c r="M456" s="8" t="s">
        <v>31</v>
      </c>
      <c r="N456" s="8" t="s">
        <v>31</v>
      </c>
      <c r="O456" s="8" t="s">
        <v>31</v>
      </c>
      <c r="P456" s="8" t="s">
        <v>31</v>
      </c>
      <c r="Q456" s="9" t="s">
        <v>2208</v>
      </c>
      <c r="R456" s="8" t="s">
        <v>31</v>
      </c>
      <c r="S456" s="10" t="s">
        <v>31</v>
      </c>
      <c r="T456" s="8" t="s">
        <v>31</v>
      </c>
      <c r="U456" s="14" t="s">
        <v>31</v>
      </c>
      <c r="V456" s="8" t="s">
        <v>31</v>
      </c>
      <c r="W456" s="8" t="s">
        <v>31</v>
      </c>
      <c r="X456" s="8" t="s">
        <v>31</v>
      </c>
      <c r="Y456" s="8" t="s">
        <v>31</v>
      </c>
      <c r="Z456" s="8" t="s">
        <v>31</v>
      </c>
    </row>
    <row r="457" spans="1:28">
      <c r="A457" s="8">
        <v>456</v>
      </c>
      <c r="B457" s="8" t="s">
        <v>2209</v>
      </c>
      <c r="C457" s="8" t="s">
        <v>2205</v>
      </c>
      <c r="D457" s="8" t="s">
        <v>2206</v>
      </c>
      <c r="E457" s="8">
        <v>4</v>
      </c>
      <c r="F457" s="8" t="s">
        <v>136</v>
      </c>
      <c r="G457" s="8">
        <v>1</v>
      </c>
      <c r="H457" s="8" t="s">
        <v>2210</v>
      </c>
      <c r="I457" s="8" t="s">
        <v>2207</v>
      </c>
      <c r="J457" s="8" t="str">
        <f t="shared" si="48"/>
        <v>SOCIAL PROTECTION &amp; WELFARE</v>
      </c>
      <c r="K457" s="8" t="s">
        <v>1760</v>
      </c>
      <c r="L457" s="8" t="s">
        <v>2211</v>
      </c>
      <c r="M457" s="8" t="s">
        <v>2212</v>
      </c>
      <c r="N457" s="8" t="s">
        <v>2213</v>
      </c>
      <c r="O457" s="8" t="s">
        <v>31</v>
      </c>
      <c r="P457" s="8" t="s">
        <v>31</v>
      </c>
      <c r="Q457" s="9" t="s">
        <v>2214</v>
      </c>
      <c r="R457" s="8" t="s">
        <v>1108</v>
      </c>
      <c r="S457" s="10">
        <v>45462</v>
      </c>
      <c r="T457" s="8" t="s">
        <v>2215</v>
      </c>
      <c r="U457" s="14" t="s">
        <v>196</v>
      </c>
      <c r="V457" s="8" t="s">
        <v>56</v>
      </c>
      <c r="W457" s="8" t="s">
        <v>2216</v>
      </c>
      <c r="X457" s="8" t="s">
        <v>2217</v>
      </c>
      <c r="Y457" s="8" t="s">
        <v>58</v>
      </c>
      <c r="Z457" s="8" t="s">
        <v>31</v>
      </c>
      <c r="AA457" s="8" t="s">
        <v>2218</v>
      </c>
      <c r="AB457" s="8" t="s">
        <v>2219</v>
      </c>
    </row>
    <row r="458" spans="1:28">
      <c r="A458" s="8">
        <v>457</v>
      </c>
      <c r="B458" s="8" t="s">
        <v>2220</v>
      </c>
      <c r="C458" s="8" t="s">
        <v>2205</v>
      </c>
      <c r="D458" s="8" t="s">
        <v>2206</v>
      </c>
      <c r="E458" s="8">
        <v>4</v>
      </c>
      <c r="F458" s="8" t="s">
        <v>136</v>
      </c>
      <c r="G458" s="8">
        <v>0</v>
      </c>
      <c r="H458" s="8" t="s">
        <v>2221</v>
      </c>
      <c r="I458" s="8" t="s">
        <v>2207</v>
      </c>
      <c r="J458" s="8" t="str">
        <f t="shared" si="48"/>
        <v>SOCIAL PROTECTION &amp; WELFARE</v>
      </c>
      <c r="K458" s="8" t="s">
        <v>1760</v>
      </c>
      <c r="L458" s="8" t="s">
        <v>33</v>
      </c>
      <c r="M458" s="8" t="s">
        <v>31</v>
      </c>
      <c r="N458" s="8" t="s">
        <v>31</v>
      </c>
      <c r="O458" s="8" t="s">
        <v>31</v>
      </c>
      <c r="P458" s="8" t="s">
        <v>31</v>
      </c>
      <c r="Q458" s="9" t="s">
        <v>2222</v>
      </c>
      <c r="R458" s="8" t="s">
        <v>31</v>
      </c>
      <c r="S458" s="10" t="s">
        <v>31</v>
      </c>
      <c r="T458" s="8" t="s">
        <v>31</v>
      </c>
      <c r="U458" s="8" t="s">
        <v>31</v>
      </c>
      <c r="V458" s="8" t="s">
        <v>31</v>
      </c>
      <c r="W458" s="8" t="s">
        <v>31</v>
      </c>
      <c r="X458" s="8" t="s">
        <v>31</v>
      </c>
      <c r="Y458" s="8" t="s">
        <v>31</v>
      </c>
      <c r="Z458" s="8" t="s">
        <v>31</v>
      </c>
    </row>
    <row r="459" spans="1:28">
      <c r="A459" s="8">
        <v>458</v>
      </c>
      <c r="B459" s="8" t="s">
        <v>2223</v>
      </c>
      <c r="C459" s="8" t="s">
        <v>2220</v>
      </c>
      <c r="D459" s="8" t="s">
        <v>2221</v>
      </c>
      <c r="E459" s="8">
        <v>5</v>
      </c>
      <c r="F459" s="8" t="s">
        <v>92</v>
      </c>
      <c r="G459" s="8">
        <v>1</v>
      </c>
      <c r="H459" s="8" t="s">
        <v>2224</v>
      </c>
      <c r="I459" s="8" t="s">
        <v>2207</v>
      </c>
      <c r="J459" s="8" t="str">
        <f t="shared" si="48"/>
        <v>SOCIAL PROTECTION &amp; WELFARE</v>
      </c>
      <c r="K459" s="8" t="s">
        <v>1760</v>
      </c>
      <c r="L459" s="8" t="s">
        <v>2211</v>
      </c>
      <c r="M459" s="8" t="s">
        <v>2212</v>
      </c>
      <c r="N459" s="8" t="s">
        <v>2213</v>
      </c>
      <c r="O459" s="8" t="s">
        <v>31</v>
      </c>
      <c r="P459" s="8" t="s">
        <v>31</v>
      </c>
      <c r="Q459" s="9" t="s">
        <v>2225</v>
      </c>
      <c r="R459" s="8" t="s">
        <v>1108</v>
      </c>
      <c r="S459" s="10">
        <v>45462</v>
      </c>
      <c r="T459" s="8" t="s">
        <v>2226</v>
      </c>
      <c r="U459" s="14" t="s">
        <v>55</v>
      </c>
      <c r="V459" s="8" t="s">
        <v>155</v>
      </c>
      <c r="W459" s="8" t="s">
        <v>2216</v>
      </c>
      <c r="X459" s="8" t="s">
        <v>2217</v>
      </c>
      <c r="Y459" s="8" t="s">
        <v>58</v>
      </c>
      <c r="Z459" s="8" t="s">
        <v>31</v>
      </c>
      <c r="AA459" s="8" t="s">
        <v>2218</v>
      </c>
    </row>
    <row r="460" spans="1:28">
      <c r="A460" s="8">
        <v>459</v>
      </c>
      <c r="B460" s="8" t="s">
        <v>2227</v>
      </c>
      <c r="C460" s="8" t="s">
        <v>2220</v>
      </c>
      <c r="D460" s="8" t="s">
        <v>2221</v>
      </c>
      <c r="E460" s="8">
        <v>5</v>
      </c>
      <c r="F460" s="8" t="s">
        <v>92</v>
      </c>
      <c r="G460" s="8">
        <v>1</v>
      </c>
      <c r="H460" s="8" t="s">
        <v>2228</v>
      </c>
      <c r="I460" s="8" t="s">
        <v>2207</v>
      </c>
      <c r="J460" s="8" t="str">
        <f t="shared" si="48"/>
        <v>SOCIAL PROTECTION &amp; WELFARE</v>
      </c>
      <c r="K460" s="8" t="s">
        <v>1760</v>
      </c>
      <c r="L460" s="8" t="s">
        <v>2211</v>
      </c>
      <c r="M460" s="8" t="s">
        <v>2212</v>
      </c>
      <c r="N460" s="8" t="s">
        <v>2213</v>
      </c>
      <c r="O460" s="8" t="s">
        <v>31</v>
      </c>
      <c r="P460" s="8" t="s">
        <v>31</v>
      </c>
      <c r="Q460" s="9" t="s">
        <v>2229</v>
      </c>
      <c r="R460" s="8" t="s">
        <v>1108</v>
      </c>
      <c r="S460" s="10">
        <v>45462</v>
      </c>
      <c r="T460" s="8" t="s">
        <v>2230</v>
      </c>
      <c r="U460" s="8" t="s">
        <v>55</v>
      </c>
      <c r="V460" s="8" t="s">
        <v>56</v>
      </c>
      <c r="W460" s="8" t="s">
        <v>2216</v>
      </c>
      <c r="X460" s="8" t="s">
        <v>2231</v>
      </c>
      <c r="Y460" s="8" t="s">
        <v>58</v>
      </c>
      <c r="Z460" s="8" t="s">
        <v>31</v>
      </c>
    </row>
    <row r="461" spans="1:28">
      <c r="A461" s="8">
        <v>460</v>
      </c>
      <c r="B461" s="8" t="s">
        <v>2232</v>
      </c>
      <c r="C461" s="8" t="s">
        <v>2205</v>
      </c>
      <c r="D461" s="8" t="s">
        <v>2206</v>
      </c>
      <c r="E461" s="8">
        <v>4</v>
      </c>
      <c r="F461" s="8" t="s">
        <v>136</v>
      </c>
      <c r="G461" s="8">
        <v>1</v>
      </c>
      <c r="H461" s="8" t="s">
        <v>2233</v>
      </c>
      <c r="I461" s="8" t="s">
        <v>2207</v>
      </c>
      <c r="J461" s="8" t="str">
        <f t="shared" si="48"/>
        <v>SOCIAL PROTECTION &amp; WELFARE</v>
      </c>
      <c r="K461" s="8" t="s">
        <v>1760</v>
      </c>
      <c r="L461" s="8" t="s">
        <v>2211</v>
      </c>
      <c r="M461" s="8" t="s">
        <v>2212</v>
      </c>
      <c r="N461" s="8" t="s">
        <v>2213</v>
      </c>
      <c r="O461" s="8" t="s">
        <v>31</v>
      </c>
      <c r="P461" s="8" t="s">
        <v>31</v>
      </c>
      <c r="Q461" s="9" t="s">
        <v>2234</v>
      </c>
      <c r="R461" s="8" t="s">
        <v>2200</v>
      </c>
      <c r="S461" s="10">
        <v>45462</v>
      </c>
      <c r="T461" s="8" t="s">
        <v>2235</v>
      </c>
      <c r="U461" s="14" t="s">
        <v>196</v>
      </c>
      <c r="V461" s="8" t="s">
        <v>56</v>
      </c>
      <c r="W461" s="8" t="s">
        <v>2216</v>
      </c>
      <c r="X461" s="8" t="s">
        <v>2236</v>
      </c>
      <c r="Y461" s="8" t="s">
        <v>58</v>
      </c>
      <c r="Z461" s="8" t="s">
        <v>31</v>
      </c>
    </row>
    <row r="462" spans="1:28">
      <c r="A462" s="8">
        <v>461</v>
      </c>
      <c r="B462" s="8" t="s">
        <v>2237</v>
      </c>
      <c r="C462" s="8" t="s">
        <v>2105</v>
      </c>
      <c r="D462" s="8" t="s">
        <v>2106</v>
      </c>
      <c r="E462" s="12">
        <v>3</v>
      </c>
      <c r="F462" s="12" t="s">
        <v>186</v>
      </c>
      <c r="G462" s="8">
        <v>0</v>
      </c>
      <c r="H462" s="12" t="s">
        <v>2238</v>
      </c>
      <c r="I462" s="8" t="s">
        <v>188</v>
      </c>
      <c r="J462" s="8" t="str">
        <f t="shared" si="48"/>
        <v>SOCIAL PROTECTION &amp; WELFARE</v>
      </c>
      <c r="K462" s="8" t="s">
        <v>1760</v>
      </c>
      <c r="L462" s="8" t="s">
        <v>33</v>
      </c>
      <c r="M462" s="8" t="s">
        <v>31</v>
      </c>
      <c r="Q462" s="9" t="s">
        <v>2239</v>
      </c>
      <c r="R462" s="8" t="s">
        <v>31</v>
      </c>
      <c r="S462" s="10" t="s">
        <v>31</v>
      </c>
      <c r="T462" s="8" t="s">
        <v>31</v>
      </c>
      <c r="U462" s="14" t="s">
        <v>31</v>
      </c>
      <c r="V462" s="8" t="s">
        <v>31</v>
      </c>
      <c r="W462" s="8" t="s">
        <v>31</v>
      </c>
      <c r="X462" s="8" t="s">
        <v>31</v>
      </c>
      <c r="Y462" s="8" t="s">
        <v>31</v>
      </c>
      <c r="Z462" s="8" t="s">
        <v>31</v>
      </c>
    </row>
    <row r="463" spans="1:28">
      <c r="A463" s="8">
        <v>462</v>
      </c>
      <c r="B463" s="8" t="s">
        <v>2240</v>
      </c>
      <c r="C463" s="8" t="s">
        <v>2237</v>
      </c>
      <c r="D463" s="8" t="s">
        <v>2238</v>
      </c>
      <c r="E463" s="8">
        <v>4</v>
      </c>
      <c r="F463" s="8" t="s">
        <v>136</v>
      </c>
      <c r="G463" s="8">
        <v>1</v>
      </c>
      <c r="H463" s="8" t="s">
        <v>2241</v>
      </c>
      <c r="I463" s="8" t="s">
        <v>188</v>
      </c>
      <c r="J463" s="8" t="str">
        <f t="shared" si="48"/>
        <v>SOCIAL PROTECTION &amp; WELFARE</v>
      </c>
      <c r="K463" s="8" t="s">
        <v>1760</v>
      </c>
      <c r="L463" s="8" t="s">
        <v>192</v>
      </c>
      <c r="M463" s="8" t="s">
        <v>193</v>
      </c>
      <c r="N463" s="8" t="s">
        <v>31</v>
      </c>
      <c r="O463" s="8" t="s">
        <v>31</v>
      </c>
      <c r="P463" s="8" t="s">
        <v>31</v>
      </c>
      <c r="Q463" s="8" t="s">
        <v>2242</v>
      </c>
      <c r="R463" s="8" t="s">
        <v>53</v>
      </c>
      <c r="S463" s="10">
        <v>45498</v>
      </c>
      <c r="T463" s="8" t="s">
        <v>2243</v>
      </c>
      <c r="U463" s="8" t="s">
        <v>196</v>
      </c>
      <c r="V463" s="8" t="s">
        <v>197</v>
      </c>
      <c r="W463" s="8" t="s">
        <v>198</v>
      </c>
      <c r="X463" s="8" t="s">
        <v>199</v>
      </c>
      <c r="Y463" s="8" t="s">
        <v>200</v>
      </c>
      <c r="Z463" s="8" t="s">
        <v>31</v>
      </c>
      <c r="AA463" s="8" t="s">
        <v>201</v>
      </c>
      <c r="AB463" s="8" t="s">
        <v>202</v>
      </c>
    </row>
    <row r="464" spans="1:28">
      <c r="A464" s="8">
        <v>463</v>
      </c>
      <c r="B464" s="8" t="s">
        <v>2244</v>
      </c>
      <c r="C464" s="8" t="s">
        <v>2237</v>
      </c>
      <c r="D464" s="8" t="s">
        <v>2238</v>
      </c>
      <c r="E464" s="8">
        <v>4</v>
      </c>
      <c r="F464" s="8" t="s">
        <v>136</v>
      </c>
      <c r="G464" s="8">
        <v>0</v>
      </c>
      <c r="H464" s="8" t="s">
        <v>2245</v>
      </c>
      <c r="I464" s="8" t="s">
        <v>188</v>
      </c>
      <c r="J464" s="8" t="str">
        <f t="shared" si="48"/>
        <v>SOCIAL PROTECTION &amp; WELFARE</v>
      </c>
      <c r="K464" s="8" t="s">
        <v>1760</v>
      </c>
      <c r="L464" s="8" t="s">
        <v>33</v>
      </c>
      <c r="M464" s="8" t="s">
        <v>31</v>
      </c>
      <c r="N464" s="8" t="s">
        <v>31</v>
      </c>
      <c r="O464" s="8" t="s">
        <v>31</v>
      </c>
      <c r="P464" s="8" t="s">
        <v>31</v>
      </c>
      <c r="Q464" s="9" t="s">
        <v>2246</v>
      </c>
      <c r="R464" s="8" t="s">
        <v>31</v>
      </c>
      <c r="S464" s="10" t="s">
        <v>31</v>
      </c>
      <c r="T464" s="8" t="s">
        <v>31</v>
      </c>
      <c r="U464" s="14" t="s">
        <v>31</v>
      </c>
      <c r="V464" s="8" t="s">
        <v>31</v>
      </c>
      <c r="W464" s="8" t="s">
        <v>31</v>
      </c>
      <c r="X464" s="8" t="s">
        <v>31</v>
      </c>
      <c r="Y464" s="8" t="s">
        <v>31</v>
      </c>
      <c r="Z464" s="8" t="s">
        <v>31</v>
      </c>
    </row>
    <row r="465" spans="1:33">
      <c r="A465" s="8">
        <v>464</v>
      </c>
      <c r="B465" s="8" t="s">
        <v>2247</v>
      </c>
      <c r="C465" s="8" t="s">
        <v>2244</v>
      </c>
      <c r="D465" s="8" t="s">
        <v>2245</v>
      </c>
      <c r="E465" s="8">
        <v>5</v>
      </c>
      <c r="F465" s="8" t="s">
        <v>92</v>
      </c>
      <c r="G465" s="8">
        <v>1</v>
      </c>
      <c r="H465" s="8" t="s">
        <v>2248</v>
      </c>
      <c r="I465" s="8" t="s">
        <v>188</v>
      </c>
      <c r="J465" s="8" t="str">
        <f t="shared" si="48"/>
        <v>SOCIAL PROTECTION &amp; WELFARE</v>
      </c>
      <c r="K465" s="8" t="s">
        <v>1760</v>
      </c>
      <c r="L465" s="8" t="s">
        <v>192</v>
      </c>
      <c r="M465" s="8" t="s">
        <v>193</v>
      </c>
      <c r="N465" s="8" t="s">
        <v>31</v>
      </c>
      <c r="O465" s="8" t="s">
        <v>31</v>
      </c>
      <c r="P465" s="8" t="s">
        <v>31</v>
      </c>
      <c r="Q465" s="8" t="s">
        <v>2249</v>
      </c>
      <c r="R465" s="8" t="s">
        <v>53</v>
      </c>
      <c r="S465" s="10">
        <v>45498</v>
      </c>
      <c r="T465" s="8" t="s">
        <v>2250</v>
      </c>
      <c r="U465" s="8" t="s">
        <v>196</v>
      </c>
      <c r="V465" s="8" t="s">
        <v>197</v>
      </c>
      <c r="W465" s="8" t="s">
        <v>198</v>
      </c>
      <c r="X465" s="8" t="s">
        <v>199</v>
      </c>
      <c r="Y465" s="8" t="s">
        <v>200</v>
      </c>
      <c r="Z465" s="8" t="s">
        <v>31</v>
      </c>
      <c r="AA465" s="8" t="s">
        <v>201</v>
      </c>
      <c r="AB465" s="8" t="s">
        <v>202</v>
      </c>
    </row>
    <row r="466" spans="1:33">
      <c r="A466" s="8">
        <v>465</v>
      </c>
      <c r="B466" s="8" t="s">
        <v>2251</v>
      </c>
      <c r="C466" s="8" t="s">
        <v>2244</v>
      </c>
      <c r="D466" s="8" t="s">
        <v>2245</v>
      </c>
      <c r="E466" s="8">
        <v>5</v>
      </c>
      <c r="F466" s="8" t="s">
        <v>92</v>
      </c>
      <c r="G466" s="8">
        <v>1</v>
      </c>
      <c r="H466" s="8" t="s">
        <v>2252</v>
      </c>
      <c r="I466" s="8" t="s">
        <v>188</v>
      </c>
      <c r="J466" s="8" t="str">
        <f t="shared" si="48"/>
        <v>SOCIAL PROTECTION &amp; WELFARE</v>
      </c>
      <c r="K466" s="8" t="s">
        <v>1760</v>
      </c>
      <c r="L466" s="8" t="s">
        <v>192</v>
      </c>
      <c r="M466" s="8" t="s">
        <v>193</v>
      </c>
      <c r="N466" s="8" t="s">
        <v>31</v>
      </c>
      <c r="O466" s="8" t="s">
        <v>31</v>
      </c>
      <c r="P466" s="8" t="s">
        <v>31</v>
      </c>
      <c r="Q466" s="8" t="s">
        <v>2253</v>
      </c>
      <c r="R466" s="8" t="s">
        <v>53</v>
      </c>
      <c r="S466" s="10">
        <v>45498</v>
      </c>
      <c r="T466" s="8" t="s">
        <v>2254</v>
      </c>
      <c r="U466" s="8" t="s">
        <v>196</v>
      </c>
      <c r="V466" s="8" t="s">
        <v>197</v>
      </c>
      <c r="W466" s="8" t="s">
        <v>198</v>
      </c>
      <c r="X466" s="8" t="s">
        <v>199</v>
      </c>
      <c r="Y466" s="8" t="s">
        <v>200</v>
      </c>
      <c r="Z466" s="8" t="s">
        <v>31</v>
      </c>
      <c r="AA466" s="8" t="s">
        <v>201</v>
      </c>
      <c r="AB466" s="8" t="s">
        <v>202</v>
      </c>
    </row>
    <row r="467" spans="1:33">
      <c r="A467" s="8">
        <v>466</v>
      </c>
      <c r="B467" s="8" t="s">
        <v>2255</v>
      </c>
      <c r="C467" s="8" t="s">
        <v>2244</v>
      </c>
      <c r="D467" s="8" t="s">
        <v>2245</v>
      </c>
      <c r="E467" s="8">
        <v>5</v>
      </c>
      <c r="F467" s="8" t="s">
        <v>92</v>
      </c>
      <c r="G467" s="8">
        <v>1</v>
      </c>
      <c r="H467" s="8" t="s">
        <v>2256</v>
      </c>
      <c r="I467" s="8" t="s">
        <v>188</v>
      </c>
      <c r="J467" s="8" t="str">
        <f t="shared" si="48"/>
        <v>SOCIAL PROTECTION &amp; WELFARE</v>
      </c>
      <c r="K467" s="8" t="s">
        <v>1760</v>
      </c>
      <c r="L467" s="8" t="s">
        <v>192</v>
      </c>
      <c r="M467" s="8" t="s">
        <v>193</v>
      </c>
      <c r="N467" s="8" t="s">
        <v>31</v>
      </c>
      <c r="O467" s="8" t="s">
        <v>31</v>
      </c>
      <c r="P467" s="8" t="s">
        <v>31</v>
      </c>
      <c r="Q467" s="8" t="s">
        <v>2257</v>
      </c>
      <c r="R467" s="8" t="s">
        <v>53</v>
      </c>
      <c r="S467" s="10">
        <v>45498</v>
      </c>
      <c r="T467" s="8" t="s">
        <v>2258</v>
      </c>
      <c r="U467" s="8" t="s">
        <v>196</v>
      </c>
      <c r="V467" s="8" t="s">
        <v>197</v>
      </c>
      <c r="W467" s="8" t="s">
        <v>198</v>
      </c>
      <c r="X467" s="8" t="s">
        <v>199</v>
      </c>
      <c r="Y467" s="8" t="s">
        <v>200</v>
      </c>
      <c r="Z467" s="8" t="s">
        <v>31</v>
      </c>
      <c r="AA467" s="8" t="s">
        <v>201</v>
      </c>
      <c r="AB467" s="8" t="s">
        <v>202</v>
      </c>
    </row>
    <row r="468" spans="1:33">
      <c r="A468" s="8">
        <v>467</v>
      </c>
      <c r="B468" s="8" t="s">
        <v>2259</v>
      </c>
      <c r="C468" s="8" t="s">
        <v>2237</v>
      </c>
      <c r="D468" s="8" t="s">
        <v>2238</v>
      </c>
      <c r="E468" s="8">
        <v>4</v>
      </c>
      <c r="F468" s="8" t="s">
        <v>136</v>
      </c>
      <c r="G468" s="8">
        <v>1</v>
      </c>
      <c r="H468" s="8" t="s">
        <v>2260</v>
      </c>
      <c r="I468" s="8" t="s">
        <v>188</v>
      </c>
      <c r="J468" s="8" t="str">
        <f t="shared" si="48"/>
        <v>SOCIAL PROTECTION &amp; WELFARE</v>
      </c>
      <c r="K468" s="8" t="s">
        <v>1760</v>
      </c>
      <c r="L468" s="8" t="s">
        <v>192</v>
      </c>
      <c r="M468" s="8" t="s">
        <v>193</v>
      </c>
      <c r="N468" s="8" t="s">
        <v>31</v>
      </c>
      <c r="O468" s="8" t="s">
        <v>31</v>
      </c>
      <c r="P468" s="8" t="s">
        <v>31</v>
      </c>
      <c r="Q468" s="8" t="s">
        <v>2261</v>
      </c>
      <c r="R468" s="8" t="s">
        <v>53</v>
      </c>
      <c r="S468" s="10">
        <v>45498</v>
      </c>
      <c r="T468" s="8" t="s">
        <v>2262</v>
      </c>
      <c r="U468" s="8" t="s">
        <v>196</v>
      </c>
      <c r="V468" s="8" t="s">
        <v>197</v>
      </c>
      <c r="W468" s="8" t="s">
        <v>198</v>
      </c>
      <c r="X468" s="8" t="s">
        <v>199</v>
      </c>
      <c r="Y468" s="8" t="s">
        <v>200</v>
      </c>
      <c r="Z468" s="8" t="s">
        <v>31</v>
      </c>
      <c r="AA468" s="8" t="s">
        <v>201</v>
      </c>
      <c r="AB468" s="8" t="s">
        <v>202</v>
      </c>
      <c r="AG468" s="8" t="s">
        <v>754</v>
      </c>
    </row>
    <row r="469" spans="1:33" s="6" customFormat="1">
      <c r="A469" s="6">
        <v>468</v>
      </c>
      <c r="B469" s="6" t="s">
        <v>2263</v>
      </c>
      <c r="C469" s="6" t="s">
        <v>1759</v>
      </c>
      <c r="D469" s="6" t="s">
        <v>1760</v>
      </c>
      <c r="E469" s="6">
        <v>2</v>
      </c>
      <c r="F469" s="6" t="str">
        <f t="shared" ref="F469:F490" si="49">IF(E469=0,"Overall",IF(E469=1,"Category",IF(E469=2,"Sub-category",IF(E469=3,"Indicator",IF(E469=4,"Sub-indicator", "Sub-sub-indicator")))))</f>
        <v>Sub-category</v>
      </c>
      <c r="G469" s="6">
        <v>0</v>
      </c>
      <c r="H469" s="6" t="s">
        <v>2264</v>
      </c>
      <c r="I469" s="6" t="s">
        <v>31</v>
      </c>
      <c r="J469" s="6" t="s">
        <v>31</v>
      </c>
      <c r="K469" s="6" t="str">
        <f>H369</f>
        <v>HUMAN DEVELOPMENT</v>
      </c>
      <c r="L469" s="6" t="s">
        <v>33</v>
      </c>
      <c r="M469" s="6" t="s">
        <v>31</v>
      </c>
      <c r="N469" s="6" t="s">
        <v>31</v>
      </c>
      <c r="O469" s="6" t="s">
        <v>31</v>
      </c>
      <c r="P469" s="6" t="s">
        <v>31</v>
      </c>
      <c r="Q469" s="24" t="s">
        <v>2265</v>
      </c>
      <c r="R469" s="6" t="s">
        <v>31</v>
      </c>
      <c r="S469" s="6" t="s">
        <v>31</v>
      </c>
      <c r="T469" s="6" t="s">
        <v>31</v>
      </c>
      <c r="U469" s="6" t="s">
        <v>31</v>
      </c>
      <c r="V469" s="6" t="s">
        <v>31</v>
      </c>
      <c r="W469" s="6" t="s">
        <v>31</v>
      </c>
      <c r="X469" s="6" t="s">
        <v>31</v>
      </c>
      <c r="Y469" s="6" t="s">
        <v>31</v>
      </c>
      <c r="Z469" s="6" t="s">
        <v>31</v>
      </c>
    </row>
    <row r="470" spans="1:33">
      <c r="A470" s="8">
        <v>469</v>
      </c>
      <c r="B470" s="8" t="s">
        <v>2266</v>
      </c>
      <c r="C470" s="8" t="s">
        <v>2263</v>
      </c>
      <c r="D470" s="8" t="s">
        <v>2264</v>
      </c>
      <c r="E470" s="12">
        <v>3</v>
      </c>
      <c r="F470" s="12" t="str">
        <f t="shared" si="49"/>
        <v>Indicator</v>
      </c>
      <c r="G470" s="8">
        <v>0</v>
      </c>
      <c r="H470" s="12" t="s">
        <v>2267</v>
      </c>
      <c r="I470" s="8" t="s">
        <v>1472</v>
      </c>
      <c r="J470" s="8" t="str">
        <f>H469</f>
        <v>SUSTAINABLE ENVIRONMENT</v>
      </c>
      <c r="K470" s="8" t="str">
        <f>H369</f>
        <v>HUMAN DEVELOPMENT</v>
      </c>
      <c r="L470" s="8" t="s">
        <v>33</v>
      </c>
      <c r="M470" s="8" t="s">
        <v>31</v>
      </c>
      <c r="N470" s="8" t="s">
        <v>31</v>
      </c>
      <c r="O470" s="8" t="s">
        <v>31</v>
      </c>
      <c r="P470" s="8" t="s">
        <v>31</v>
      </c>
      <c r="Q470" s="9" t="s">
        <v>2268</v>
      </c>
      <c r="R470" s="8" t="s">
        <v>31</v>
      </c>
      <c r="S470" s="10" t="s">
        <v>31</v>
      </c>
      <c r="T470" s="8" t="s">
        <v>31</v>
      </c>
      <c r="U470" s="8" t="s">
        <v>31</v>
      </c>
      <c r="V470" s="8" t="s">
        <v>31</v>
      </c>
      <c r="W470" s="8" t="s">
        <v>31</v>
      </c>
      <c r="X470" s="8" t="s">
        <v>31</v>
      </c>
      <c r="Y470" s="8" t="s">
        <v>31</v>
      </c>
      <c r="Z470" s="8" t="s">
        <v>31</v>
      </c>
    </row>
    <row r="471" spans="1:33">
      <c r="A471" s="8">
        <v>470</v>
      </c>
      <c r="B471" s="8" t="s">
        <v>2269</v>
      </c>
      <c r="C471" s="8" t="s">
        <v>2266</v>
      </c>
      <c r="D471" s="8" t="s">
        <v>2267</v>
      </c>
      <c r="E471" s="8">
        <v>4</v>
      </c>
      <c r="F471" s="8" t="str">
        <f t="shared" si="49"/>
        <v>Sub-indicator</v>
      </c>
      <c r="G471" s="8">
        <v>1</v>
      </c>
      <c r="H471" s="8" t="s">
        <v>2270</v>
      </c>
      <c r="I471" s="8" t="s">
        <v>400</v>
      </c>
      <c r="J471" s="8" t="str">
        <f t="shared" ref="J471:J478" si="50">$H$469</f>
        <v>SUSTAINABLE ENVIRONMENT</v>
      </c>
      <c r="K471" s="8" t="str">
        <f t="shared" ref="K471:K478" si="51">$H$369</f>
        <v>HUMAN DEVELOPMENT</v>
      </c>
      <c r="L471" s="8" t="s">
        <v>401</v>
      </c>
      <c r="M471" s="8" t="s">
        <v>402</v>
      </c>
      <c r="N471" s="8" t="s">
        <v>31</v>
      </c>
      <c r="O471" s="8" t="s">
        <v>31</v>
      </c>
      <c r="P471" s="8" t="s">
        <v>31</v>
      </c>
      <c r="Q471" s="9" t="s">
        <v>2271</v>
      </c>
      <c r="R471" s="8" t="s">
        <v>404</v>
      </c>
      <c r="S471" s="10">
        <v>45427</v>
      </c>
      <c r="T471" s="8" t="s">
        <v>2272</v>
      </c>
      <c r="U471" s="14" t="s">
        <v>144</v>
      </c>
      <c r="V471" s="8" t="s">
        <v>155</v>
      </c>
      <c r="W471" s="8" t="s">
        <v>406</v>
      </c>
      <c r="X471" s="8" t="s">
        <v>407</v>
      </c>
      <c r="Y471" s="8" t="s">
        <v>58</v>
      </c>
      <c r="Z471" s="8" t="s">
        <v>31</v>
      </c>
      <c r="AA471" s="8" t="s">
        <v>408</v>
      </c>
      <c r="AB471" s="8" t="s">
        <v>409</v>
      </c>
    </row>
    <row r="472" spans="1:33">
      <c r="A472" s="8">
        <v>471</v>
      </c>
      <c r="B472" s="8" t="s">
        <v>2273</v>
      </c>
      <c r="C472" s="8" t="s">
        <v>2266</v>
      </c>
      <c r="D472" s="8" t="s">
        <v>2267</v>
      </c>
      <c r="E472" s="8">
        <v>4</v>
      </c>
      <c r="F472" s="8" t="str">
        <f t="shared" si="49"/>
        <v>Sub-indicator</v>
      </c>
      <c r="G472" s="8">
        <v>0</v>
      </c>
      <c r="H472" s="8" t="s">
        <v>2274</v>
      </c>
      <c r="I472" s="8" t="s">
        <v>1365</v>
      </c>
      <c r="J472" s="8" t="str">
        <f t="shared" si="50"/>
        <v>SUSTAINABLE ENVIRONMENT</v>
      </c>
      <c r="K472" s="8" t="str">
        <f t="shared" si="51"/>
        <v>HUMAN DEVELOPMENT</v>
      </c>
      <c r="L472" s="8" t="s">
        <v>33</v>
      </c>
      <c r="M472" s="8" t="s">
        <v>31</v>
      </c>
      <c r="N472" s="8" t="s">
        <v>31</v>
      </c>
      <c r="O472" s="8" t="s">
        <v>31</v>
      </c>
      <c r="P472" s="8" t="s">
        <v>31</v>
      </c>
      <c r="Q472" s="9" t="s">
        <v>2275</v>
      </c>
      <c r="R472" s="8" t="s">
        <v>31</v>
      </c>
      <c r="S472" s="10" t="s">
        <v>31</v>
      </c>
      <c r="T472" s="8" t="s">
        <v>31</v>
      </c>
      <c r="U472" s="8" t="s">
        <v>31</v>
      </c>
      <c r="V472" s="8" t="s">
        <v>31</v>
      </c>
      <c r="W472" s="8" t="s">
        <v>31</v>
      </c>
      <c r="X472" s="8" t="s">
        <v>31</v>
      </c>
      <c r="Y472" s="8" t="s">
        <v>31</v>
      </c>
      <c r="Z472" s="8" t="s">
        <v>31</v>
      </c>
    </row>
    <row r="473" spans="1:33">
      <c r="A473" s="8">
        <v>472</v>
      </c>
      <c r="B473" s="8" t="s">
        <v>2276</v>
      </c>
      <c r="C473" s="8" t="s">
        <v>2273</v>
      </c>
      <c r="D473" s="8" t="s">
        <v>2274</v>
      </c>
      <c r="E473" s="8">
        <v>5</v>
      </c>
      <c r="F473" s="8" t="str">
        <f t="shared" si="49"/>
        <v>Sub-sub-indicator</v>
      </c>
      <c r="G473" s="8">
        <v>1</v>
      </c>
      <c r="H473" s="8" t="s">
        <v>2274</v>
      </c>
      <c r="I473" s="8" t="s">
        <v>1368</v>
      </c>
      <c r="J473" s="8" t="str">
        <f t="shared" si="50"/>
        <v>SUSTAINABLE ENVIRONMENT</v>
      </c>
      <c r="K473" s="8" t="str">
        <f t="shared" si="51"/>
        <v>HUMAN DEVELOPMENT</v>
      </c>
      <c r="L473" s="8" t="s">
        <v>1369</v>
      </c>
      <c r="M473" s="8" t="s">
        <v>1370</v>
      </c>
      <c r="N473" s="8" t="s">
        <v>31</v>
      </c>
      <c r="O473" s="8" t="s">
        <v>31</v>
      </c>
      <c r="P473" s="8" t="s">
        <v>31</v>
      </c>
      <c r="Q473" s="9" t="s">
        <v>2277</v>
      </c>
      <c r="R473" s="8" t="s">
        <v>1372</v>
      </c>
      <c r="S473" s="10">
        <v>45454</v>
      </c>
      <c r="T473" s="8" t="s">
        <v>2278</v>
      </c>
      <c r="U473" s="14" t="s">
        <v>1373</v>
      </c>
      <c r="V473" s="8" t="s">
        <v>155</v>
      </c>
      <c r="W473" s="8" t="s">
        <v>1374</v>
      </c>
      <c r="X473" s="8" t="s">
        <v>58</v>
      </c>
      <c r="Y473" s="8" t="s">
        <v>58</v>
      </c>
      <c r="Z473" s="8" t="s">
        <v>31</v>
      </c>
      <c r="AA473" s="8" t="s">
        <v>1375</v>
      </c>
    </row>
    <row r="474" spans="1:33">
      <c r="A474" s="8">
        <v>473</v>
      </c>
      <c r="B474" s="8" t="s">
        <v>2279</v>
      </c>
      <c r="C474" s="8" t="s">
        <v>2273</v>
      </c>
      <c r="D474" s="8" t="s">
        <v>2274</v>
      </c>
      <c r="E474" s="8">
        <v>5</v>
      </c>
      <c r="F474" s="8" t="str">
        <f t="shared" si="49"/>
        <v>Sub-sub-indicator</v>
      </c>
      <c r="G474" s="8">
        <v>1</v>
      </c>
      <c r="H474" s="8" t="s">
        <v>2274</v>
      </c>
      <c r="I474" s="8" t="s">
        <v>719</v>
      </c>
      <c r="J474" s="8" t="str">
        <f t="shared" si="50"/>
        <v>SUSTAINABLE ENVIRONMENT</v>
      </c>
      <c r="K474" s="8" t="str">
        <f t="shared" si="51"/>
        <v>HUMAN DEVELOPMENT</v>
      </c>
      <c r="L474" s="8" t="s">
        <v>720</v>
      </c>
      <c r="M474" s="8" t="s">
        <v>1377</v>
      </c>
      <c r="N474" s="8" t="s">
        <v>31</v>
      </c>
      <c r="O474" s="8" t="s">
        <v>31</v>
      </c>
      <c r="P474" s="8" t="s">
        <v>31</v>
      </c>
      <c r="Q474" s="9" t="s">
        <v>2280</v>
      </c>
      <c r="R474" s="8" t="s">
        <v>97</v>
      </c>
      <c r="S474" s="10">
        <v>45454</v>
      </c>
      <c r="T474" s="8" t="s">
        <v>2281</v>
      </c>
      <c r="U474" s="8" t="s">
        <v>1373</v>
      </c>
      <c r="V474" s="8" t="s">
        <v>155</v>
      </c>
      <c r="W474" s="8" t="s">
        <v>1380</v>
      </c>
      <c r="X474" s="8" t="s">
        <v>1381</v>
      </c>
      <c r="Y474" s="8" t="s">
        <v>58</v>
      </c>
      <c r="Z474" s="8" t="s">
        <v>31</v>
      </c>
    </row>
    <row r="475" spans="1:33">
      <c r="A475" s="8">
        <v>474</v>
      </c>
      <c r="B475" s="8" t="s">
        <v>2282</v>
      </c>
      <c r="C475" s="8" t="s">
        <v>2263</v>
      </c>
      <c r="D475" s="8" t="s">
        <v>2264</v>
      </c>
      <c r="E475" s="12">
        <v>3</v>
      </c>
      <c r="F475" s="12" t="str">
        <f t="shared" si="49"/>
        <v>Indicator</v>
      </c>
      <c r="G475" s="8">
        <v>0</v>
      </c>
      <c r="H475" s="12" t="s">
        <v>2283</v>
      </c>
      <c r="I475" s="8" t="s">
        <v>2284</v>
      </c>
      <c r="J475" s="8" t="str">
        <f t="shared" si="50"/>
        <v>SUSTAINABLE ENVIRONMENT</v>
      </c>
      <c r="K475" s="8" t="str">
        <f t="shared" si="51"/>
        <v>HUMAN DEVELOPMENT</v>
      </c>
      <c r="L475" s="8" t="s">
        <v>33</v>
      </c>
      <c r="M475" s="8" t="s">
        <v>31</v>
      </c>
      <c r="N475" s="8" t="s">
        <v>31</v>
      </c>
      <c r="O475" s="8" t="s">
        <v>31</v>
      </c>
      <c r="P475" s="8" t="s">
        <v>31</v>
      </c>
      <c r="Q475" s="9" t="s">
        <v>2285</v>
      </c>
      <c r="R475" s="8" t="s">
        <v>31</v>
      </c>
      <c r="S475" s="10" t="s">
        <v>31</v>
      </c>
      <c r="T475" s="8" t="s">
        <v>31</v>
      </c>
      <c r="U475" s="8" t="s">
        <v>31</v>
      </c>
      <c r="V475" s="8" t="s">
        <v>31</v>
      </c>
      <c r="W475" s="8" t="s">
        <v>31</v>
      </c>
      <c r="X475" s="8" t="s">
        <v>31</v>
      </c>
      <c r="Y475" s="8" t="s">
        <v>31</v>
      </c>
      <c r="Z475" s="8" t="s">
        <v>31</v>
      </c>
    </row>
    <row r="476" spans="1:33">
      <c r="A476" s="8">
        <v>475</v>
      </c>
      <c r="B476" s="8" t="s">
        <v>2286</v>
      </c>
      <c r="C476" s="8" t="s">
        <v>2282</v>
      </c>
      <c r="D476" s="8" t="s">
        <v>2283</v>
      </c>
      <c r="E476" s="8">
        <v>4</v>
      </c>
      <c r="F476" s="8" t="str">
        <f t="shared" si="49"/>
        <v>Sub-indicator</v>
      </c>
      <c r="G476" s="8">
        <v>1</v>
      </c>
      <c r="H476" s="8" t="s">
        <v>2287</v>
      </c>
      <c r="I476" s="8" t="s">
        <v>235</v>
      </c>
      <c r="J476" s="8" t="str">
        <f t="shared" si="50"/>
        <v>SUSTAINABLE ENVIRONMENT</v>
      </c>
      <c r="K476" s="8" t="str">
        <f t="shared" si="51"/>
        <v>HUMAN DEVELOPMENT</v>
      </c>
      <c r="L476" s="8" t="s">
        <v>236</v>
      </c>
      <c r="M476" s="8" t="s">
        <v>237</v>
      </c>
      <c r="N476" s="8" t="s">
        <v>31</v>
      </c>
      <c r="O476" s="8" t="s">
        <v>31</v>
      </c>
      <c r="P476" s="8" t="s">
        <v>31</v>
      </c>
      <c r="Q476" s="9" t="s">
        <v>2288</v>
      </c>
      <c r="R476" s="8" t="s">
        <v>316</v>
      </c>
      <c r="S476" s="10">
        <v>45461</v>
      </c>
      <c r="T476" s="8" t="s">
        <v>2289</v>
      </c>
      <c r="U476" s="8" t="s">
        <v>154</v>
      </c>
      <c r="V476" s="8" t="s">
        <v>155</v>
      </c>
      <c r="W476" s="8" t="s">
        <v>241</v>
      </c>
      <c r="X476" s="8" t="s">
        <v>242</v>
      </c>
      <c r="Y476" s="8" t="s">
        <v>58</v>
      </c>
      <c r="Z476" s="8" t="s">
        <v>31</v>
      </c>
      <c r="AA476" s="8" t="s">
        <v>318</v>
      </c>
      <c r="AB476" s="8" t="s">
        <v>244</v>
      </c>
      <c r="AC476" s="8" t="s">
        <v>2290</v>
      </c>
    </row>
    <row r="477" spans="1:33">
      <c r="A477" s="8">
        <v>476</v>
      </c>
      <c r="B477" s="8" t="s">
        <v>2291</v>
      </c>
      <c r="C477" s="8" t="s">
        <v>2282</v>
      </c>
      <c r="D477" s="8" t="s">
        <v>2283</v>
      </c>
      <c r="E477" s="8">
        <v>4</v>
      </c>
      <c r="F477" s="8" t="str">
        <f t="shared" si="49"/>
        <v>Sub-indicator</v>
      </c>
      <c r="G477" s="8">
        <v>1</v>
      </c>
      <c r="H477" s="8" t="s">
        <v>2292</v>
      </c>
      <c r="I477" s="8" t="s">
        <v>367</v>
      </c>
      <c r="J477" s="8" t="str">
        <f t="shared" si="50"/>
        <v>SUSTAINABLE ENVIRONMENT</v>
      </c>
      <c r="K477" s="8" t="str">
        <f t="shared" si="51"/>
        <v>HUMAN DEVELOPMENT</v>
      </c>
      <c r="L477" s="8" t="s">
        <v>368</v>
      </c>
      <c r="M477" s="8" t="s">
        <v>369</v>
      </c>
      <c r="N477" s="8" t="s">
        <v>31</v>
      </c>
      <c r="O477" s="8" t="s">
        <v>31</v>
      </c>
      <c r="P477" s="8" t="s">
        <v>31</v>
      </c>
      <c r="Q477" s="9" t="s">
        <v>2293</v>
      </c>
      <c r="R477" s="8" t="s">
        <v>963</v>
      </c>
      <c r="S477" s="10">
        <v>45484</v>
      </c>
      <c r="T477" s="8" t="s">
        <v>2294</v>
      </c>
      <c r="U477" s="8" t="s">
        <v>372</v>
      </c>
      <c r="V477" s="8" t="s">
        <v>155</v>
      </c>
      <c r="W477" s="8" t="s">
        <v>373</v>
      </c>
      <c r="X477" s="8" t="s">
        <v>2295</v>
      </c>
      <c r="Y477" s="8" t="s">
        <v>2296</v>
      </c>
      <c r="Z477" s="8" t="s">
        <v>31</v>
      </c>
      <c r="AA477" s="8" t="s">
        <v>2297</v>
      </c>
    </row>
    <row r="478" spans="1:33">
      <c r="A478" s="8">
        <v>477</v>
      </c>
      <c r="B478" s="8" t="s">
        <v>2298</v>
      </c>
      <c r="C478" s="8" t="s">
        <v>2263</v>
      </c>
      <c r="D478" s="8" t="s">
        <v>2264</v>
      </c>
      <c r="E478" s="12">
        <v>3</v>
      </c>
      <c r="F478" s="12" t="str">
        <f t="shared" si="49"/>
        <v>Indicator</v>
      </c>
      <c r="G478" s="8">
        <v>0</v>
      </c>
      <c r="H478" s="12" t="s">
        <v>2299</v>
      </c>
      <c r="I478" s="8" t="s">
        <v>2300</v>
      </c>
      <c r="J478" s="8" t="str">
        <f t="shared" si="50"/>
        <v>SUSTAINABLE ENVIRONMENT</v>
      </c>
      <c r="K478" s="8" t="str">
        <f t="shared" si="51"/>
        <v>HUMAN DEVELOPMENT</v>
      </c>
      <c r="L478" s="8" t="s">
        <v>33</v>
      </c>
      <c r="M478" s="8" t="s">
        <v>31</v>
      </c>
      <c r="N478" s="8" t="s">
        <v>31</v>
      </c>
      <c r="O478" s="8" t="s">
        <v>31</v>
      </c>
      <c r="P478" s="8" t="s">
        <v>31</v>
      </c>
      <c r="Q478" s="9" t="s">
        <v>2301</v>
      </c>
      <c r="R478" s="8" t="s">
        <v>31</v>
      </c>
      <c r="S478" s="10" t="s">
        <v>31</v>
      </c>
      <c r="T478" s="8" t="s">
        <v>31</v>
      </c>
      <c r="U478" s="8" t="s">
        <v>31</v>
      </c>
      <c r="V478" s="8" t="s">
        <v>31</v>
      </c>
      <c r="W478" s="8" t="s">
        <v>31</v>
      </c>
      <c r="X478" s="8" t="s">
        <v>31</v>
      </c>
      <c r="Y478" s="8" t="s">
        <v>31</v>
      </c>
      <c r="Z478" s="8" t="s">
        <v>31</v>
      </c>
    </row>
    <row r="479" spans="1:33">
      <c r="A479" s="8">
        <v>478</v>
      </c>
      <c r="B479" s="8" t="s">
        <v>2302</v>
      </c>
      <c r="C479" s="8" t="s">
        <v>2298</v>
      </c>
      <c r="D479" s="8" t="s">
        <v>2299</v>
      </c>
      <c r="E479" s="8">
        <v>4</v>
      </c>
      <c r="F479" s="8" t="str">
        <f t="shared" si="49"/>
        <v>Sub-indicator</v>
      </c>
      <c r="G479" s="8">
        <v>1</v>
      </c>
      <c r="H479" s="8" t="s">
        <v>2303</v>
      </c>
      <c r="I479" s="8" t="s">
        <v>2300</v>
      </c>
      <c r="J479" s="8" t="s">
        <v>2264</v>
      </c>
      <c r="K479" s="8" t="s">
        <v>1760</v>
      </c>
      <c r="L479" s="8" t="s">
        <v>2304</v>
      </c>
      <c r="M479" s="8" t="s">
        <v>2305</v>
      </c>
      <c r="N479" s="8" t="s">
        <v>31</v>
      </c>
      <c r="O479" s="8" t="s">
        <v>31</v>
      </c>
      <c r="P479" s="8" t="s">
        <v>31</v>
      </c>
      <c r="Q479" s="9" t="s">
        <v>2306</v>
      </c>
      <c r="R479" s="8" t="s">
        <v>1108</v>
      </c>
      <c r="S479" s="10">
        <v>45463</v>
      </c>
      <c r="T479" s="8" t="s">
        <v>2307</v>
      </c>
      <c r="U479" s="8" t="s">
        <v>183</v>
      </c>
      <c r="V479" s="8" t="s">
        <v>56</v>
      </c>
      <c r="W479" s="8" t="s">
        <v>2308</v>
      </c>
      <c r="X479" s="8" t="s">
        <v>58</v>
      </c>
      <c r="Y479" s="8" t="s">
        <v>58</v>
      </c>
      <c r="Z479" s="8" t="s">
        <v>31</v>
      </c>
    </row>
    <row r="480" spans="1:33">
      <c r="A480" s="8">
        <v>479</v>
      </c>
      <c r="B480" s="8" t="s">
        <v>2309</v>
      </c>
      <c r="C480" s="8" t="s">
        <v>2298</v>
      </c>
      <c r="D480" s="8" t="s">
        <v>2299</v>
      </c>
      <c r="E480" s="8">
        <v>4</v>
      </c>
      <c r="F480" s="8" t="str">
        <f t="shared" si="49"/>
        <v>Sub-indicator</v>
      </c>
      <c r="G480" s="8">
        <v>1</v>
      </c>
      <c r="H480" s="8" t="s">
        <v>2310</v>
      </c>
      <c r="I480" s="8" t="s">
        <v>2300</v>
      </c>
      <c r="J480" s="8" t="s">
        <v>2264</v>
      </c>
      <c r="K480" s="8" t="s">
        <v>1760</v>
      </c>
      <c r="L480" s="8" t="s">
        <v>2304</v>
      </c>
      <c r="M480" s="8" t="s">
        <v>2305</v>
      </c>
      <c r="N480" s="8" t="s">
        <v>31</v>
      </c>
      <c r="O480" s="8" t="s">
        <v>31</v>
      </c>
      <c r="P480" s="8" t="s">
        <v>31</v>
      </c>
      <c r="Q480" s="9" t="s">
        <v>2311</v>
      </c>
      <c r="R480" s="8" t="s">
        <v>1108</v>
      </c>
      <c r="S480" s="10">
        <v>45463</v>
      </c>
      <c r="T480" s="8" t="s">
        <v>2312</v>
      </c>
      <c r="U480" s="8" t="s">
        <v>183</v>
      </c>
      <c r="V480" s="8" t="s">
        <v>56</v>
      </c>
      <c r="W480" s="8" t="s">
        <v>2308</v>
      </c>
      <c r="X480" s="8" t="s">
        <v>58</v>
      </c>
      <c r="Y480" s="8" t="s">
        <v>58</v>
      </c>
      <c r="Z480" s="8" t="s">
        <v>31</v>
      </c>
    </row>
    <row r="481" spans="1:28">
      <c r="A481" s="8">
        <v>480</v>
      </c>
      <c r="B481" s="8" t="s">
        <v>2313</v>
      </c>
      <c r="C481" s="8" t="s">
        <v>2263</v>
      </c>
      <c r="D481" s="8" t="s">
        <v>2264</v>
      </c>
      <c r="E481" s="12">
        <v>3</v>
      </c>
      <c r="F481" s="12" t="str">
        <f t="shared" si="49"/>
        <v>Indicator</v>
      </c>
      <c r="G481" s="8">
        <v>0</v>
      </c>
      <c r="H481" s="12" t="s">
        <v>2314</v>
      </c>
      <c r="I481" s="8" t="s">
        <v>2315</v>
      </c>
      <c r="J481" s="8" t="str">
        <f>$H$469</f>
        <v>SUSTAINABLE ENVIRONMENT</v>
      </c>
      <c r="K481" s="8" t="str">
        <f>$H$369</f>
        <v>HUMAN DEVELOPMENT</v>
      </c>
      <c r="L481" s="8" t="s">
        <v>33</v>
      </c>
      <c r="M481" s="8" t="s">
        <v>31</v>
      </c>
      <c r="N481" s="8" t="s">
        <v>31</v>
      </c>
      <c r="O481" s="8" t="s">
        <v>31</v>
      </c>
      <c r="P481" s="8" t="s">
        <v>31</v>
      </c>
      <c r="Q481" s="9" t="s">
        <v>2316</v>
      </c>
      <c r="R481" s="8" t="s">
        <v>31</v>
      </c>
      <c r="S481" s="10" t="s">
        <v>31</v>
      </c>
      <c r="T481" s="8" t="s">
        <v>31</v>
      </c>
      <c r="U481" s="8" t="s">
        <v>31</v>
      </c>
      <c r="V481" s="8" t="s">
        <v>31</v>
      </c>
      <c r="W481" s="8" t="s">
        <v>31</v>
      </c>
      <c r="X481" s="8" t="s">
        <v>31</v>
      </c>
      <c r="Y481" s="8" t="s">
        <v>31</v>
      </c>
      <c r="Z481" s="8" t="s">
        <v>31</v>
      </c>
    </row>
    <row r="482" spans="1:28">
      <c r="A482" s="8">
        <v>481</v>
      </c>
      <c r="B482" s="8" t="s">
        <v>2317</v>
      </c>
      <c r="C482" s="8" t="s">
        <v>2313</v>
      </c>
      <c r="D482" s="8" t="s">
        <v>2314</v>
      </c>
      <c r="E482" s="8">
        <v>4</v>
      </c>
      <c r="F482" s="8" t="str">
        <f t="shared" si="49"/>
        <v>Sub-indicator</v>
      </c>
      <c r="G482" s="8">
        <v>0</v>
      </c>
      <c r="H482" s="8" t="s">
        <v>2318</v>
      </c>
      <c r="I482" s="8" t="s">
        <v>2207</v>
      </c>
      <c r="J482" s="8" t="str">
        <f>$H$469</f>
        <v>SUSTAINABLE ENVIRONMENT</v>
      </c>
      <c r="K482" s="8" t="str">
        <f>$H$369</f>
        <v>HUMAN DEVELOPMENT</v>
      </c>
      <c r="L482" s="8" t="s">
        <v>33</v>
      </c>
      <c r="M482" s="8" t="s">
        <v>31</v>
      </c>
      <c r="N482" s="8" t="s">
        <v>31</v>
      </c>
      <c r="O482" s="8" t="s">
        <v>31</v>
      </c>
      <c r="P482" s="8" t="s">
        <v>31</v>
      </c>
      <c r="Q482" s="9" t="s">
        <v>2319</v>
      </c>
      <c r="R482" s="8" t="s">
        <v>31</v>
      </c>
      <c r="S482" s="10" t="s">
        <v>31</v>
      </c>
      <c r="T482" s="8" t="s">
        <v>31</v>
      </c>
      <c r="U482" s="8" t="s">
        <v>31</v>
      </c>
      <c r="V482" s="8" t="s">
        <v>31</v>
      </c>
      <c r="W482" s="8" t="s">
        <v>31</v>
      </c>
      <c r="X482" s="8" t="s">
        <v>31</v>
      </c>
      <c r="Y482" s="8" t="s">
        <v>31</v>
      </c>
      <c r="Z482" s="8" t="s">
        <v>31</v>
      </c>
    </row>
    <row r="483" spans="1:28">
      <c r="A483" s="8">
        <v>482</v>
      </c>
      <c r="B483" s="8" t="s">
        <v>2320</v>
      </c>
      <c r="C483" s="8" t="s">
        <v>2317</v>
      </c>
      <c r="D483" s="8" t="s">
        <v>2318</v>
      </c>
      <c r="E483" s="8">
        <v>5</v>
      </c>
      <c r="F483" s="8" t="str">
        <f t="shared" si="49"/>
        <v>Sub-sub-indicator</v>
      </c>
      <c r="G483" s="8">
        <v>1</v>
      </c>
      <c r="H483" s="8" t="s">
        <v>2321</v>
      </c>
      <c r="I483" s="8" t="s">
        <v>2207</v>
      </c>
      <c r="J483" s="8" t="s">
        <v>2264</v>
      </c>
      <c r="K483" s="8" t="s">
        <v>1760</v>
      </c>
      <c r="L483" s="8" t="s">
        <v>2211</v>
      </c>
      <c r="M483" s="8" t="s">
        <v>2212</v>
      </c>
      <c r="N483" s="8" t="s">
        <v>2322</v>
      </c>
      <c r="O483" s="8" t="s">
        <v>31</v>
      </c>
      <c r="P483" s="8" t="s">
        <v>31</v>
      </c>
      <c r="Q483" s="9" t="s">
        <v>2323</v>
      </c>
      <c r="R483" s="8" t="s">
        <v>97</v>
      </c>
      <c r="S483" s="10">
        <v>45462</v>
      </c>
      <c r="T483" s="8" t="s">
        <v>2324</v>
      </c>
      <c r="U483" s="8" t="s">
        <v>196</v>
      </c>
      <c r="V483" s="8" t="s">
        <v>56</v>
      </c>
      <c r="W483" s="8" t="s">
        <v>2325</v>
      </c>
      <c r="X483" s="8" t="s">
        <v>58</v>
      </c>
      <c r="Y483" s="8" t="s">
        <v>58</v>
      </c>
      <c r="Z483" s="8" t="s">
        <v>31</v>
      </c>
      <c r="AA483" s="8" t="s">
        <v>2326</v>
      </c>
    </row>
    <row r="484" spans="1:28">
      <c r="A484" s="8">
        <v>483</v>
      </c>
      <c r="B484" s="8" t="s">
        <v>2327</v>
      </c>
      <c r="C484" s="8" t="s">
        <v>2317</v>
      </c>
      <c r="D484" s="8" t="s">
        <v>2318</v>
      </c>
      <c r="E484" s="8">
        <v>5</v>
      </c>
      <c r="F484" s="8" t="str">
        <f t="shared" si="49"/>
        <v>Sub-sub-indicator</v>
      </c>
      <c r="G484" s="8">
        <v>1</v>
      </c>
      <c r="H484" s="8" t="s">
        <v>2328</v>
      </c>
      <c r="I484" s="8" t="s">
        <v>2207</v>
      </c>
      <c r="J484" s="8" t="s">
        <v>2264</v>
      </c>
      <c r="K484" s="8" t="s">
        <v>1760</v>
      </c>
      <c r="L484" s="8" t="s">
        <v>2211</v>
      </c>
      <c r="M484" s="8" t="s">
        <v>2212</v>
      </c>
      <c r="N484" s="8" t="s">
        <v>2329</v>
      </c>
      <c r="O484" s="8" t="s">
        <v>31</v>
      </c>
      <c r="P484" s="8" t="s">
        <v>31</v>
      </c>
      <c r="Q484" s="9" t="s">
        <v>2330</v>
      </c>
      <c r="R484" s="8" t="s">
        <v>1108</v>
      </c>
      <c r="S484" s="10">
        <v>45462</v>
      </c>
      <c r="T484" s="8" t="s">
        <v>2331</v>
      </c>
      <c r="U484" s="8" t="s">
        <v>196</v>
      </c>
      <c r="V484" s="8" t="s">
        <v>155</v>
      </c>
      <c r="W484" s="8" t="s">
        <v>2332</v>
      </c>
      <c r="X484" s="8" t="s">
        <v>2333</v>
      </c>
      <c r="Y484" s="8" t="s">
        <v>58</v>
      </c>
      <c r="Z484" s="8" t="s">
        <v>77</v>
      </c>
    </row>
    <row r="485" spans="1:28">
      <c r="A485" s="8">
        <v>484</v>
      </c>
      <c r="B485" s="8" t="s">
        <v>2334</v>
      </c>
      <c r="C485" s="8" t="s">
        <v>2313</v>
      </c>
      <c r="D485" s="8" t="s">
        <v>2314</v>
      </c>
      <c r="E485" s="8">
        <v>4</v>
      </c>
      <c r="F485" s="8" t="str">
        <f t="shared" si="49"/>
        <v>Sub-indicator</v>
      </c>
      <c r="G485" s="8">
        <v>0</v>
      </c>
      <c r="H485" s="8" t="s">
        <v>2335</v>
      </c>
      <c r="I485" s="8" t="s">
        <v>2336</v>
      </c>
      <c r="J485" s="8" t="str">
        <f t="shared" ref="J485:J490" si="52">$H$469</f>
        <v>SUSTAINABLE ENVIRONMENT</v>
      </c>
      <c r="K485" s="8" t="str">
        <f t="shared" ref="K485:K490" si="53">$H$369</f>
        <v>HUMAN DEVELOPMENT</v>
      </c>
      <c r="L485" s="8" t="s">
        <v>33</v>
      </c>
      <c r="M485" s="8" t="s">
        <v>31</v>
      </c>
      <c r="N485" s="8" t="s">
        <v>31</v>
      </c>
      <c r="O485" s="8" t="s">
        <v>31</v>
      </c>
      <c r="P485" s="8" t="s">
        <v>31</v>
      </c>
      <c r="Q485" s="9" t="s">
        <v>2337</v>
      </c>
      <c r="R485" s="8" t="s">
        <v>31</v>
      </c>
      <c r="S485" s="13" t="s">
        <v>31</v>
      </c>
      <c r="T485" s="8" t="s">
        <v>31</v>
      </c>
      <c r="U485" s="8" t="s">
        <v>31</v>
      </c>
      <c r="V485" s="8" t="s">
        <v>31</v>
      </c>
      <c r="W485" s="8" t="s">
        <v>31</v>
      </c>
      <c r="X485" s="8" t="s">
        <v>31</v>
      </c>
      <c r="Y485" s="8" t="s">
        <v>31</v>
      </c>
      <c r="Z485" s="8" t="s">
        <v>31</v>
      </c>
    </row>
    <row r="486" spans="1:28" ht="14">
      <c r="A486" s="8">
        <v>485</v>
      </c>
      <c r="B486" s="8" t="s">
        <v>2338</v>
      </c>
      <c r="C486" s="8" t="s">
        <v>2334</v>
      </c>
      <c r="D486" s="8" t="s">
        <v>2335</v>
      </c>
      <c r="E486" s="8">
        <v>5</v>
      </c>
      <c r="F486" s="8" t="str">
        <f t="shared" si="49"/>
        <v>Sub-sub-indicator</v>
      </c>
      <c r="G486" s="8">
        <v>1</v>
      </c>
      <c r="H486" s="8" t="s">
        <v>2339</v>
      </c>
      <c r="I486" s="8" t="s">
        <v>2340</v>
      </c>
      <c r="J486" s="8" t="str">
        <f t="shared" si="52"/>
        <v>SUSTAINABLE ENVIRONMENT</v>
      </c>
      <c r="K486" s="8" t="str">
        <f t="shared" si="53"/>
        <v>HUMAN DEVELOPMENT</v>
      </c>
      <c r="L486" s="8" t="s">
        <v>2341</v>
      </c>
      <c r="M486" s="8" t="s">
        <v>2342</v>
      </c>
      <c r="N486" s="8" t="s">
        <v>31</v>
      </c>
      <c r="O486" s="8" t="s">
        <v>31</v>
      </c>
      <c r="P486" s="8" t="s">
        <v>31</v>
      </c>
      <c r="Q486" s="9" t="s">
        <v>2343</v>
      </c>
      <c r="R486" s="25" t="s">
        <v>53</v>
      </c>
      <c r="S486" s="10">
        <v>45446</v>
      </c>
      <c r="T486" s="8" t="s">
        <v>2344</v>
      </c>
      <c r="U486" s="8" t="s">
        <v>196</v>
      </c>
      <c r="V486" s="8" t="s">
        <v>56</v>
      </c>
      <c r="W486" s="8" t="s">
        <v>2345</v>
      </c>
      <c r="X486" s="8" t="s">
        <v>2346</v>
      </c>
      <c r="Y486" s="8" t="s">
        <v>58</v>
      </c>
      <c r="Z486" s="8" t="s">
        <v>77</v>
      </c>
      <c r="AA486" s="8" t="s">
        <v>2347</v>
      </c>
      <c r="AB486" s="8" t="s">
        <v>2348</v>
      </c>
    </row>
    <row r="487" spans="1:28">
      <c r="A487" s="8">
        <v>486</v>
      </c>
      <c r="B487" s="8" t="s">
        <v>2349</v>
      </c>
      <c r="C487" s="8" t="s">
        <v>2334</v>
      </c>
      <c r="D487" s="8" t="s">
        <v>2335</v>
      </c>
      <c r="E487" s="8">
        <v>5</v>
      </c>
      <c r="F487" s="8" t="str">
        <f t="shared" si="49"/>
        <v>Sub-sub-indicator</v>
      </c>
      <c r="G487" s="8">
        <v>1</v>
      </c>
      <c r="H487" s="8" t="s">
        <v>2350</v>
      </c>
      <c r="I487" s="8" t="s">
        <v>719</v>
      </c>
      <c r="J487" s="8" t="str">
        <f t="shared" si="52"/>
        <v>SUSTAINABLE ENVIRONMENT</v>
      </c>
      <c r="K487" s="8" t="str">
        <f t="shared" si="53"/>
        <v>HUMAN DEVELOPMENT</v>
      </c>
      <c r="L487" s="8" t="s">
        <v>720</v>
      </c>
      <c r="M487" s="8" t="s">
        <v>1555</v>
      </c>
      <c r="N487" s="8" t="s">
        <v>31</v>
      </c>
      <c r="O487" s="8" t="s">
        <v>31</v>
      </c>
      <c r="P487" s="8" t="s">
        <v>31</v>
      </c>
      <c r="Q487" s="9" t="s">
        <v>2351</v>
      </c>
      <c r="R487" s="8" t="s">
        <v>1108</v>
      </c>
      <c r="S487" s="10">
        <v>45454</v>
      </c>
      <c r="T487" s="8" t="s">
        <v>2352</v>
      </c>
      <c r="U487" s="8" t="s">
        <v>196</v>
      </c>
      <c r="V487" s="8" t="s">
        <v>56</v>
      </c>
      <c r="W487" s="8" t="s">
        <v>1662</v>
      </c>
      <c r="X487" s="8" t="s">
        <v>642</v>
      </c>
      <c r="Y487" s="8" t="s">
        <v>58</v>
      </c>
      <c r="Z487" s="8" t="s">
        <v>31</v>
      </c>
    </row>
    <row r="488" spans="1:28">
      <c r="A488" s="8">
        <v>487</v>
      </c>
      <c r="B488" s="8" t="s">
        <v>2353</v>
      </c>
      <c r="C488" s="8" t="s">
        <v>2263</v>
      </c>
      <c r="D488" s="8" t="s">
        <v>2264</v>
      </c>
      <c r="E488" s="12">
        <v>3</v>
      </c>
      <c r="F488" s="12" t="str">
        <f t="shared" si="49"/>
        <v>Indicator</v>
      </c>
      <c r="G488" s="8">
        <v>0</v>
      </c>
      <c r="H488" s="12" t="s">
        <v>2354</v>
      </c>
      <c r="I488" s="8" t="s">
        <v>2355</v>
      </c>
      <c r="J488" s="8" t="str">
        <f t="shared" si="52"/>
        <v>SUSTAINABLE ENVIRONMENT</v>
      </c>
      <c r="K488" s="8" t="str">
        <f t="shared" si="53"/>
        <v>HUMAN DEVELOPMENT</v>
      </c>
      <c r="L488" s="8" t="s">
        <v>33</v>
      </c>
      <c r="M488" s="8" t="s">
        <v>31</v>
      </c>
      <c r="N488" s="8" t="s">
        <v>31</v>
      </c>
      <c r="O488" s="8" t="s">
        <v>31</v>
      </c>
      <c r="P488" s="8" t="s">
        <v>31</v>
      </c>
      <c r="Q488" s="9" t="s">
        <v>2356</v>
      </c>
      <c r="R488" s="8" t="s">
        <v>31</v>
      </c>
      <c r="S488" s="10" t="s">
        <v>31</v>
      </c>
      <c r="T488" s="8" t="s">
        <v>31</v>
      </c>
      <c r="U488" s="14" t="s">
        <v>31</v>
      </c>
      <c r="V488" s="8" t="s">
        <v>31</v>
      </c>
      <c r="W488" s="8" t="s">
        <v>31</v>
      </c>
      <c r="X488" s="8" t="s">
        <v>31</v>
      </c>
      <c r="Y488" s="8" t="s">
        <v>31</v>
      </c>
      <c r="Z488" s="8" t="s">
        <v>31</v>
      </c>
    </row>
    <row r="489" spans="1:28" ht="13.5" customHeight="1">
      <c r="A489" s="8">
        <v>488</v>
      </c>
      <c r="B489" s="8" t="s">
        <v>2357</v>
      </c>
      <c r="C489" s="8" t="s">
        <v>2353</v>
      </c>
      <c r="D489" s="8" t="s">
        <v>2354</v>
      </c>
      <c r="E489" s="8">
        <v>4</v>
      </c>
      <c r="F489" s="8" t="str">
        <f t="shared" si="49"/>
        <v>Sub-indicator</v>
      </c>
      <c r="G489" s="8">
        <v>1</v>
      </c>
      <c r="H489" s="8" t="s">
        <v>2358</v>
      </c>
      <c r="I489" s="8" t="s">
        <v>2359</v>
      </c>
      <c r="J489" s="8" t="str">
        <f t="shared" si="52"/>
        <v>SUSTAINABLE ENVIRONMENT</v>
      </c>
      <c r="K489" s="8" t="str">
        <f t="shared" si="53"/>
        <v>HUMAN DEVELOPMENT</v>
      </c>
      <c r="L489" s="8" t="s">
        <v>2360</v>
      </c>
      <c r="M489" s="8" t="s">
        <v>2361</v>
      </c>
      <c r="N489" s="8" t="s">
        <v>31</v>
      </c>
      <c r="O489" s="8" t="s">
        <v>31</v>
      </c>
      <c r="P489" s="8" t="s">
        <v>31</v>
      </c>
      <c r="Q489" s="9" t="s">
        <v>2362</v>
      </c>
      <c r="R489" s="8" t="s">
        <v>53</v>
      </c>
      <c r="S489" s="10">
        <v>45448</v>
      </c>
      <c r="T489" s="8" t="s">
        <v>2363</v>
      </c>
      <c r="U489" s="8" t="s">
        <v>2364</v>
      </c>
      <c r="V489" s="8" t="s">
        <v>155</v>
      </c>
      <c r="W489" t="s">
        <v>2365</v>
      </c>
      <c r="X489" s="8" t="s">
        <v>58</v>
      </c>
      <c r="Y489" s="8" t="s">
        <v>58</v>
      </c>
      <c r="Z489" s="8" t="s">
        <v>31</v>
      </c>
    </row>
    <row r="490" spans="1:28">
      <c r="A490" s="8">
        <v>489</v>
      </c>
      <c r="B490" s="8" t="s">
        <v>2366</v>
      </c>
      <c r="C490" s="8" t="s">
        <v>2353</v>
      </c>
      <c r="D490" s="8" t="s">
        <v>2354</v>
      </c>
      <c r="E490" s="8">
        <v>4</v>
      </c>
      <c r="F490" s="8" t="str">
        <f t="shared" si="49"/>
        <v>Sub-indicator</v>
      </c>
      <c r="G490" s="8">
        <v>1</v>
      </c>
      <c r="H490" s="8" t="s">
        <v>2367</v>
      </c>
      <c r="I490" s="8" t="s">
        <v>719</v>
      </c>
      <c r="J490" s="8" t="str">
        <f t="shared" si="52"/>
        <v>SUSTAINABLE ENVIRONMENT</v>
      </c>
      <c r="K490" s="8" t="str">
        <f t="shared" si="53"/>
        <v>HUMAN DEVELOPMENT</v>
      </c>
      <c r="L490" s="8" t="s">
        <v>720</v>
      </c>
      <c r="M490" s="8" t="s">
        <v>1555</v>
      </c>
      <c r="N490" s="8" t="s">
        <v>31</v>
      </c>
      <c r="O490" s="8" t="s">
        <v>31</v>
      </c>
      <c r="P490" s="8" t="s">
        <v>31</v>
      </c>
      <c r="Q490" s="9" t="s">
        <v>2368</v>
      </c>
      <c r="R490" s="8" t="s">
        <v>1311</v>
      </c>
      <c r="S490" s="10">
        <v>45454</v>
      </c>
      <c r="T490" s="8" t="s">
        <v>2369</v>
      </c>
      <c r="U490" s="8" t="s">
        <v>196</v>
      </c>
      <c r="V490" s="8" t="s">
        <v>155</v>
      </c>
      <c r="W490" s="8" t="s">
        <v>1662</v>
      </c>
      <c r="X490" s="8" t="s">
        <v>2370</v>
      </c>
      <c r="Y490" s="8" t="s">
        <v>58</v>
      </c>
      <c r="Z490" s="8" t="s">
        <v>59</v>
      </c>
    </row>
    <row r="491" spans="1:28">
      <c r="A491" s="8">
        <v>490</v>
      </c>
      <c r="B491" s="8" t="s">
        <v>2371</v>
      </c>
      <c r="C491" s="8" t="s">
        <v>2353</v>
      </c>
      <c r="D491" s="8" t="s">
        <v>2354</v>
      </c>
      <c r="E491" s="8">
        <v>4</v>
      </c>
      <c r="F491" s="8" t="s">
        <v>136</v>
      </c>
      <c r="G491" s="8">
        <v>0</v>
      </c>
      <c r="H491" s="8" t="s">
        <v>2372</v>
      </c>
      <c r="I491" s="8" t="s">
        <v>138</v>
      </c>
      <c r="J491" s="8" t="s">
        <v>2264</v>
      </c>
      <c r="K491" s="8" t="s">
        <v>1760</v>
      </c>
      <c r="L491" s="8" t="s">
        <v>33</v>
      </c>
      <c r="M491" s="8" t="s">
        <v>31</v>
      </c>
      <c r="N491" s="8" t="s">
        <v>31</v>
      </c>
      <c r="O491" s="8" t="s">
        <v>31</v>
      </c>
      <c r="P491" s="8" t="s">
        <v>31</v>
      </c>
      <c r="Q491" s="9" t="s">
        <v>2373</v>
      </c>
      <c r="R491" s="8" t="s">
        <v>31</v>
      </c>
      <c r="S491" s="10" t="s">
        <v>31</v>
      </c>
      <c r="T491" s="8" t="s">
        <v>31</v>
      </c>
      <c r="U491" s="8" t="s">
        <v>31</v>
      </c>
      <c r="V491" s="8" t="s">
        <v>31</v>
      </c>
      <c r="W491" s="8" t="s">
        <v>31</v>
      </c>
      <c r="X491" s="8" t="s">
        <v>31</v>
      </c>
      <c r="Y491" s="8" t="s">
        <v>31</v>
      </c>
      <c r="Z491" s="8" t="s">
        <v>31</v>
      </c>
    </row>
    <row r="492" spans="1:28">
      <c r="A492" s="8">
        <v>491</v>
      </c>
      <c r="B492" s="8" t="s">
        <v>2374</v>
      </c>
      <c r="C492" s="8" t="s">
        <v>2371</v>
      </c>
      <c r="D492" s="8" t="s">
        <v>2372</v>
      </c>
      <c r="E492" s="8">
        <v>5</v>
      </c>
      <c r="F492" s="8" t="s">
        <v>92</v>
      </c>
      <c r="G492" s="8">
        <v>1</v>
      </c>
      <c r="H492" s="8" t="s">
        <v>2375</v>
      </c>
      <c r="I492" s="8" t="s">
        <v>138</v>
      </c>
      <c r="J492" s="8" t="s">
        <v>2264</v>
      </c>
      <c r="K492" s="8" t="s">
        <v>1760</v>
      </c>
      <c r="L492" s="8" t="s">
        <v>139</v>
      </c>
      <c r="M492" s="8" t="s">
        <v>140</v>
      </c>
      <c r="N492" s="8" t="s">
        <v>31</v>
      </c>
      <c r="O492" s="8" t="s">
        <v>31</v>
      </c>
      <c r="P492" s="8" t="s">
        <v>31</v>
      </c>
      <c r="Q492" s="9" t="s">
        <v>2376</v>
      </c>
      <c r="R492" s="17" t="s">
        <v>142</v>
      </c>
      <c r="S492" s="10">
        <v>45447</v>
      </c>
      <c r="T492" s="8" t="s">
        <v>2377</v>
      </c>
      <c r="U492" s="11" t="s">
        <v>144</v>
      </c>
      <c r="V492" s="8" t="s">
        <v>56</v>
      </c>
      <c r="W492" s="8" t="s">
        <v>145</v>
      </c>
      <c r="X492" s="8" t="s">
        <v>58</v>
      </c>
      <c r="Y492" s="8" t="s">
        <v>58</v>
      </c>
      <c r="Z492" s="8" t="s">
        <v>31</v>
      </c>
      <c r="AA492" s="8" t="s">
        <v>146</v>
      </c>
    </row>
    <row r="493" spans="1:28">
      <c r="A493" s="8">
        <v>492</v>
      </c>
      <c r="B493" s="8" t="s">
        <v>2378</v>
      </c>
      <c r="C493" s="8" t="s">
        <v>2371</v>
      </c>
      <c r="D493" s="8" t="s">
        <v>2372</v>
      </c>
      <c r="E493" s="8">
        <v>5</v>
      </c>
      <c r="F493" s="8" t="s">
        <v>92</v>
      </c>
      <c r="G493" s="8">
        <v>1</v>
      </c>
      <c r="H493" s="8" t="s">
        <v>2379</v>
      </c>
      <c r="I493" s="8" t="s">
        <v>138</v>
      </c>
      <c r="J493" s="8" t="s">
        <v>2264</v>
      </c>
      <c r="K493" s="8" t="s">
        <v>1760</v>
      </c>
      <c r="L493" s="8" t="s">
        <v>139</v>
      </c>
      <c r="M493" s="8" t="s">
        <v>140</v>
      </c>
      <c r="N493" s="8" t="s">
        <v>31</v>
      </c>
      <c r="O493" s="8" t="s">
        <v>31</v>
      </c>
      <c r="P493" s="8" t="s">
        <v>31</v>
      </c>
      <c r="Q493" s="9" t="s">
        <v>2380</v>
      </c>
      <c r="R493" s="17" t="s">
        <v>142</v>
      </c>
      <c r="S493" s="10">
        <v>45447</v>
      </c>
      <c r="T493" s="8" t="s">
        <v>2381</v>
      </c>
      <c r="U493" s="11" t="s">
        <v>144</v>
      </c>
      <c r="V493" s="8" t="s">
        <v>56</v>
      </c>
      <c r="W493" s="8" t="s">
        <v>145</v>
      </c>
      <c r="X493" s="8" t="s">
        <v>58</v>
      </c>
      <c r="Y493" s="8" t="s">
        <v>58</v>
      </c>
      <c r="Z493" s="8" t="s">
        <v>31</v>
      </c>
      <c r="AA493" s="8" t="s">
        <v>146</v>
      </c>
    </row>
  </sheetData>
  <dataConsolidate link="1"/>
  <hyperlinks>
    <hyperlink ref="W58" r:id="rId1" xr:uid="{E3EE71AF-B2D4-4729-A8D2-812AC73693D1}"/>
    <hyperlink ref="W83" r:id="rId2" xr:uid="{BCC5D753-6B0A-451A-ABF9-73BC2BFE0B19}"/>
    <hyperlink ref="W191" r:id="rId3" xr:uid="{495CDB7F-1283-429A-B7FA-3125C48BBFF2}"/>
    <hyperlink ref="W156" r:id="rId4" xr:uid="{5A8C1390-2759-41C4-9FDE-7BCF3E4A947C}"/>
    <hyperlink ref="W195" r:id="rId5" xr:uid="{394CC154-0715-4D84-A510-150F93DA33D1}"/>
    <hyperlink ref="W198" r:id="rId6" xr:uid="{10CB6E00-B152-430E-9EC6-91A1F7BBE006}"/>
    <hyperlink ref="W232" r:id="rId7" xr:uid="{01BF786E-1582-4BC7-B969-32D915E9B26A}"/>
    <hyperlink ref="W292" r:id="rId8" xr:uid="{1E7289CE-4D1F-4A39-A1FC-4728AECD3227}"/>
    <hyperlink ref="W300" r:id="rId9" xr:uid="{5C7437F9-AA1F-449E-834E-A0AFCB48C8A1}"/>
    <hyperlink ref="W297" r:id="rId10" xr:uid="{4F280FA9-37CA-4298-B98C-C6AA054EE64B}"/>
    <hyperlink ref="W313" r:id="rId11" xr:uid="{F24E57B6-AE33-45F0-8A28-55D0FDE287B1}"/>
    <hyperlink ref="W454" r:id="rId12" xr:uid="{58E3B52F-A475-40CB-91A2-99485C7F3833}"/>
    <hyperlink ref="W348" r:id="rId13" xr:uid="{75A4FB1E-E31D-4847-AD6E-E522C7CCAAD1}"/>
    <hyperlink ref="W487" r:id="rId14" xr:uid="{39D79735-0A1E-40B3-80DF-DA3B70160BB5}"/>
    <hyperlink ref="W490" r:id="rId15" xr:uid="{9FEB0DFB-C24A-4359-AABF-903711858002}"/>
    <hyperlink ref="W305" r:id="rId16" xr:uid="{05376591-15FB-4DD8-801C-B87C3318B294}"/>
    <hyperlink ref="W375" r:id="rId17" xr:uid="{C37B9B5B-238F-46C9-804D-B6B36E2E6B5C}"/>
    <hyperlink ref="W8" r:id="rId18" xr:uid="{F70B5D20-3B09-4E35-B7E5-29AA3791A7F3}"/>
    <hyperlink ref="W372" r:id="rId19" xr:uid="{27DE7E04-222F-4E3D-BDF8-59C7C24480FA}"/>
    <hyperlink ref="W381" r:id="rId20" xr:uid="{887D3F41-2272-4716-8736-D10919E783C0}"/>
    <hyperlink ref="W382" r:id="rId21" xr:uid="{1E03C87D-BD93-4922-B41B-0E02CA70CBE4}"/>
    <hyperlink ref="W387" r:id="rId22" xr:uid="{BF052015-FCD1-4AD6-831C-220166335E02}"/>
    <hyperlink ref="W388" r:id="rId23" xr:uid="{D16D3BB5-68C2-4108-95D4-F16346F5FB8A}"/>
    <hyperlink ref="W389" r:id="rId24" xr:uid="{FA51ABA9-78F2-4659-9B14-E3E31A4C891E}"/>
    <hyperlink ref="W351" r:id="rId25" location=":~:text=The%20UPU's%20Integrated%20Index%20for,168%20countries%20covered%20in%202021." xr:uid="{0A13D5BF-4469-4747-9BFF-63A90C575456}"/>
    <hyperlink ref="W416" r:id="rId26" xr:uid="{B2B0672C-B4C2-449F-8952-AE439C73BAA9}"/>
    <hyperlink ref="W418" r:id="rId27" xr:uid="{9DA229D5-CCB8-400D-97C6-06FAEA081E2F}"/>
    <hyperlink ref="W420" r:id="rId28" xr:uid="{832A3EE8-4B16-4947-9D7D-3C3A69EA684C}"/>
    <hyperlink ref="W421" r:id="rId29" xr:uid="{7B4024CB-BD4E-417B-9035-ADA1B5664989}"/>
    <hyperlink ref="W317" r:id="rId30" xr:uid="{61F8F3DB-6A4F-4394-A012-DC4B6AD3089D}"/>
    <hyperlink ref="W280" r:id="rId31" xr:uid="{E79AE1E0-2AF0-49FA-896F-0E8A5045BF46}"/>
    <hyperlink ref="W428" r:id="rId32" xr:uid="{31849953-B052-414A-9363-84B54AE9E1EF}"/>
    <hyperlink ref="W409" r:id="rId33" xr:uid="{2E45D94C-4462-4B63-BB51-BED84498AA37}"/>
    <hyperlink ref="W93" r:id="rId34" display="https://www.internationalbudget.org/sites/default/files/2020-04/2019_Methodology_EN.pdf" xr:uid="{33DFACC2-C95B-4BBB-BC5D-BA6E7B50B3AB}"/>
    <hyperlink ref="W30" r:id="rId35" xr:uid="{3CF980B4-03C6-4D57-B985-15092E28044A}"/>
    <hyperlink ref="W457" r:id="rId36" location="data/FS/metadata" xr:uid="{02A8E532-3E36-4978-B5B0-A3E7161DBBD8}"/>
    <hyperlink ref="W484" r:id="rId37" location="data/EL/metadata" xr:uid="{3B5DCC65-E879-4B09-925C-E55B58299004}"/>
    <hyperlink ref="W451" r:id="rId38" xr:uid="{67E5707C-9F9B-4B7F-AFF8-CB3CA6769C36}"/>
    <hyperlink ref="W6" r:id="rId39" xr:uid="{31F174E5-16C0-4782-890B-977C7DB1D438}"/>
    <hyperlink ref="W12" r:id="rId40" xr:uid="{BE75C8F1-6B19-475F-8611-4A5420771D9D}"/>
    <hyperlink ref="W14" r:id="rId41" xr:uid="{AD49D6D8-647E-44E3-8BF3-0ACA56AE30B8}"/>
    <hyperlink ref="W333" r:id="rId42" xr:uid="{6794DECC-C1D7-4221-89D9-DE59292FBE9F}"/>
    <hyperlink ref="W272" r:id="rId43" xr:uid="{8DAE888D-F1C0-4C7F-8152-4BB163CC0DA4}"/>
  </hyperlinks>
  <pageMargins left="0.7" right="0.7" top="0.75" bottom="0.75" header="0.3" footer="0.3"/>
  <pageSetup paperSize="9" orientation="portrait" r:id="rId4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2024 IIAG_series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Fernandez</dc:creator>
  <cp:lastModifiedBy>Thomas Preston</cp:lastModifiedBy>
  <dcterms:created xsi:type="dcterms:W3CDTF">2024-08-09T10:04:51Z</dcterms:created>
  <dcterms:modified xsi:type="dcterms:W3CDTF">2024-11-08T10:53:46Z</dcterms:modified>
</cp:coreProperties>
</file>